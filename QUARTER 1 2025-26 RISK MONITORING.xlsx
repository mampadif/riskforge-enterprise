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bitribw-my.sharepoint.com/personal/gmckenzie_bitri_co_bw/Documents/Documents/AUDIT 2025-26/QUARTER 2/RISK/20 AUG ATTACH/"/>
    </mc:Choice>
  </mc:AlternateContent>
  <xr:revisionPtr revIDLastSave="0" documentId="8_{61143399-C774-4ECA-85A0-A1F63D9367F2}" xr6:coauthVersionLast="47" xr6:coauthVersionMax="47" xr10:uidLastSave="{00000000-0000-0000-0000-000000000000}"/>
  <bookViews>
    <workbookView xWindow="-110" yWindow="-110" windowWidth="19420" windowHeight="11500" firstSheet="1" activeTab="1" xr2:uid="{00000000-000D-0000-FFFF-FFFF00000000}"/>
  </bookViews>
  <sheets>
    <sheet name="SAMPLE MT" sheetId="8" state="hidden" r:id="rId1"/>
    <sheet name="QUARTER 1 SUMMARY" sheetId="62" r:id="rId2"/>
    <sheet name="QUARTER 1 2025-26 UPDATES" sheetId="63" r:id="rId3"/>
    <sheet name="RISK REGISTER 2025-26" sheetId="66" r:id="rId4"/>
    <sheet name="Boundaries" sheetId="7" r:id="rId5"/>
    <sheet name="Impact" sheetId="2" r:id="rId6"/>
    <sheet name="likelihood" sheetId="3" r:id="rId7"/>
    <sheet name="effectiveness of control" sheetId="5" r:id="rId8"/>
    <sheet name="Risk Matrix" sheetId="6" r:id="rId9"/>
    <sheet name="Opportunity Impact Scale" sheetId="50" r:id="rId10"/>
  </sheets>
  <definedNames>
    <definedName name="Effectiveness">Boundaries!$F$20:$F$24</definedName>
    <definedName name="Impact.">Boundaries!$B$4:$B$8</definedName>
    <definedName name="Likelihood">Boundaries!$B$12:$B$16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9" i="63" l="1"/>
  <c r="Y8" i="63"/>
  <c r="Y7" i="63"/>
  <c r="Y6" i="63"/>
  <c r="Y5" i="63"/>
  <c r="Y4" i="63"/>
  <c r="L9" i="66"/>
  <c r="L8" i="66"/>
  <c r="L7" i="66"/>
  <c r="L6" i="66"/>
  <c r="L5" i="66"/>
  <c r="L4" i="66"/>
  <c r="L9" i="63" l="1"/>
  <c r="L8" i="63"/>
  <c r="L7" i="63"/>
  <c r="L6" i="63"/>
  <c r="L5" i="63"/>
  <c r="L4" i="63"/>
  <c r="L9" i="62" l="1"/>
  <c r="L8" i="62"/>
  <c r="L7" i="62"/>
  <c r="L6" i="62"/>
  <c r="L5" i="62"/>
  <c r="L4" i="62"/>
</calcChain>
</file>

<file path=xl/sharedStrings.xml><?xml version="1.0" encoding="utf-8"?>
<sst xmlns="http://schemas.openxmlformats.org/spreadsheetml/2006/main" count="555" uniqueCount="294">
  <si>
    <t>LINK TO OBJECTIVE</t>
  </si>
  <si>
    <t>TREATMENT DUE DATE (MM/DD/YYY)</t>
  </si>
  <si>
    <t>RISK TREATMENT/ACTION PLAN</t>
  </si>
  <si>
    <t>Effectiveness Factor</t>
  </si>
  <si>
    <t>Qualification Criteria</t>
  </si>
  <si>
    <t>very good</t>
  </si>
  <si>
    <t>risk exposure is effectively controlled and managed</t>
  </si>
  <si>
    <t>Good</t>
  </si>
  <si>
    <t>majority of risk exposure is effectively controlled and managed</t>
  </si>
  <si>
    <t>Satisfactory</t>
  </si>
  <si>
    <t>there is room for some improvement</t>
  </si>
  <si>
    <t>Weak</t>
  </si>
  <si>
    <t>some of the risk exposure appears to be controlled, but there are major defeciencies</t>
  </si>
  <si>
    <t>Unsatisfactory</t>
  </si>
  <si>
    <t>control measures are ineffective</t>
  </si>
  <si>
    <t>INDICATIVES</t>
  </si>
  <si>
    <t>Rating</t>
  </si>
  <si>
    <t>Impact</t>
  </si>
  <si>
    <t>Financial</t>
  </si>
  <si>
    <t>Reputation</t>
  </si>
  <si>
    <t>Regulatory/Legal</t>
  </si>
  <si>
    <t>Operational Disruption</t>
  </si>
  <si>
    <t>Critical</t>
  </si>
  <si>
    <t>Major</t>
  </si>
  <si>
    <t>Moderate</t>
  </si>
  <si>
    <t>Breach of Regulation (reportable to the regulator) or moderate litigation</t>
  </si>
  <si>
    <t>Minor</t>
  </si>
  <si>
    <t>Severity rankings</t>
  </si>
  <si>
    <t>long term law suits arising with substantial fines  arising from non compliance</t>
  </si>
  <si>
    <t>significant law suits with fines arising from non compliance</t>
  </si>
  <si>
    <t>Significant</t>
  </si>
  <si>
    <t>Minor rule breaches or legal issues/grievances and conflicts arising from non compliance</t>
  </si>
  <si>
    <t>managed grievances / conflict</t>
  </si>
  <si>
    <t>Likelihood</t>
  </si>
  <si>
    <t>Indicative Probability</t>
  </si>
  <si>
    <t>Almost Certain</t>
  </si>
  <si>
    <t>the event can be  expected to occur in most circumstances (certain to occur, almost every time)</t>
  </si>
  <si>
    <t>Likely to occur Daily - Monthly</t>
  </si>
  <si>
    <t>Likely</t>
  </si>
  <si>
    <t>The event will probably occur in most circumstances</t>
  </si>
  <si>
    <t>Likely to occur 1month- 3 months</t>
  </si>
  <si>
    <t>Likely to occur 3months- 6 months</t>
  </si>
  <si>
    <t>Unlikely</t>
  </si>
  <si>
    <t>Likely to occur 6months- 12 months</t>
  </si>
  <si>
    <t>Rare</t>
  </si>
  <si>
    <t>The event may occur only in exceptional circumstances</t>
  </si>
  <si>
    <t>Not likely to occur within a financial year (&gt; 1 year)</t>
  </si>
  <si>
    <t>IMPACT OF OCCURRENCE</t>
  </si>
  <si>
    <t>1 – Negligible</t>
  </si>
  <si>
    <t>2 – Low</t>
  </si>
  <si>
    <t>3 – Moderate</t>
  </si>
  <si>
    <t>4 – Very High</t>
  </si>
  <si>
    <t>5 – Extreme</t>
  </si>
  <si>
    <t>RISK INDEX</t>
  </si>
  <si>
    <t>RISK MAGNITUDE</t>
  </si>
  <si>
    <t>LIKELIHOOD OF OCCURRENCE</t>
  </si>
  <si>
    <t xml:space="preserve">Almost certain </t>
  </si>
  <si>
    <t>15-25</t>
  </si>
  <si>
    <t>HIGH RISK</t>
  </si>
  <si>
    <t>Likely to occur frequently</t>
  </si>
  <si>
    <t>5 - 12</t>
  </si>
  <si>
    <t>MEDIUM RISK</t>
  </si>
  <si>
    <t>Moderate (Possible and likely to occur at some time)</t>
  </si>
  <si>
    <t>1 - 4</t>
  </si>
  <si>
    <t>LOW RISK</t>
  </si>
  <si>
    <t>Unlikely to occur but could happen</t>
  </si>
  <si>
    <t>May occur but only in rare and exceptional circumstances</t>
  </si>
  <si>
    <t>Inherent risk</t>
  </si>
  <si>
    <t xml:space="preserve">Inherent Risk </t>
  </si>
  <si>
    <t>Low</t>
  </si>
  <si>
    <t>Medium</t>
  </si>
  <si>
    <t>High</t>
  </si>
  <si>
    <t>Extreme</t>
  </si>
  <si>
    <r>
      <t xml:space="preserve">RISK NO 
</t>
    </r>
    <r>
      <rPr>
        <sz val="10"/>
        <rFont val="Arial"/>
        <family val="2"/>
      </rPr>
      <t>(a uique identifier for risk)</t>
    </r>
  </si>
  <si>
    <t>SAMPLE:</t>
  </si>
  <si>
    <t>NEW AND OLD RISKS FORM</t>
  </si>
  <si>
    <t>DEPARTMENT/ UNIT:</t>
  </si>
  <si>
    <t>Risk type:</t>
  </si>
  <si>
    <t>Strategic/ Operations/HR/Compliance:</t>
  </si>
  <si>
    <t>Risk no.</t>
  </si>
  <si>
    <t>Risk date:</t>
  </si>
  <si>
    <t>Last assesssed:</t>
  </si>
  <si>
    <t>NO</t>
  </si>
  <si>
    <t>DETAILS</t>
  </si>
  <si>
    <t>INFORMATION/ AMENDMENTS</t>
  </si>
  <si>
    <t>Name of risk</t>
  </si>
  <si>
    <t>Root cause (s)</t>
  </si>
  <si>
    <t>Consequences</t>
  </si>
  <si>
    <t>Risk Owner</t>
  </si>
  <si>
    <t>CURRENT CONTROLS</t>
  </si>
  <si>
    <t>Description of Control</t>
  </si>
  <si>
    <t>Control Owner</t>
  </si>
  <si>
    <t>Overall effectiveness of controls</t>
  </si>
  <si>
    <t>Control catergorisation (Preventative / Reactive)</t>
  </si>
  <si>
    <t>Impact rating:</t>
  </si>
  <si>
    <t>likelihood rating :</t>
  </si>
  <si>
    <t>Inherent risk:</t>
  </si>
  <si>
    <t>Action plans / Risk Tasks</t>
  </si>
  <si>
    <t>start date</t>
  </si>
  <si>
    <t>Target completion  date</t>
  </si>
  <si>
    <t>Task details</t>
  </si>
  <si>
    <t>Responsible person</t>
  </si>
  <si>
    <t>Cost of planned task (P)</t>
  </si>
  <si>
    <t>Progress report</t>
  </si>
  <si>
    <t>Outstanding items</t>
  </si>
  <si>
    <t>Status</t>
  </si>
  <si>
    <t>Overall status of Action Plan</t>
  </si>
  <si>
    <t>Residual Risk:</t>
  </si>
  <si>
    <t>Recommended by:</t>
  </si>
  <si>
    <t>Date:</t>
  </si>
  <si>
    <t>Signature:</t>
  </si>
  <si>
    <t>Approved by Division/HOD</t>
  </si>
  <si>
    <t>Processed by Unit Risk Champion:</t>
  </si>
  <si>
    <r>
      <t xml:space="preserve">RISK DEFINITION/ STATEMENT  </t>
    </r>
    <r>
      <rPr>
        <sz val="10"/>
        <rFont val="Arial"/>
        <family val="2"/>
      </rPr>
      <t xml:space="preserve"> (foundational understanding of risk)</t>
    </r>
  </si>
  <si>
    <t>Impact Score</t>
  </si>
  <si>
    <t>Impact Description</t>
  </si>
  <si>
    <t>Strategic</t>
  </si>
  <si>
    <t>Operational</t>
  </si>
  <si>
    <t>1.complete alignment with BITRI Vision and Mission          2.fulfilment of strategic plan                             3. definitively enhances competitive advantage or long term viability</t>
  </si>
  <si>
    <t xml:space="preserve">1. Annual savings or net revenue of 25% of the budgeted revenue  </t>
  </si>
  <si>
    <t xml:space="preserve">Transformative improvement in efficiency research projects and services, environmental/ financial sustainability, or infrastructure </t>
  </si>
  <si>
    <t>1.overall alignment with BITRI Vision and Mission                                      2. major contribution to competitive advantage or long term viability                                                                   3 accelerates progress on one or strategic goals</t>
  </si>
  <si>
    <t xml:space="preserve">1. Positive national publicity and external recognition            2.long- term enhancement of the BITRI research reputation  </t>
  </si>
  <si>
    <t xml:space="preserve">1. Annual savings or net revenue of 21%- 25% budgeted revenue                 </t>
  </si>
  <si>
    <t xml:space="preserve">major improvement in efficiency research projects and services, environmental/ financial sustainability, or infrastructure </t>
  </si>
  <si>
    <t xml:space="preserve">1. Annual savings or net revenue of 16%- 20% of budgeted revenue                        </t>
  </si>
  <si>
    <t xml:space="preserve">moderate improvement in efficiency research projects and services, environmental/ financial sustainability, or infrastructure </t>
  </si>
  <si>
    <t>1.positive local/ regional publicity                                    2. minor , short term improvement to  BITRI reputation/ image</t>
  </si>
  <si>
    <t xml:space="preserve">1. Annual savings or net revenue of  10-15% budgeted revenue              </t>
  </si>
  <si>
    <t xml:space="preserve">Significant improvements in efficiency research projects and services, environmental/ financial sustainability, or infrastructure </t>
  </si>
  <si>
    <t>1. minor alignment with BITRI Vision and Mission                       2. Minor contribution to competitive advantage or long-term viability                       3. Minor progress on one strategic goal</t>
  </si>
  <si>
    <t>1. limited , local positive publicity                                    2. No lasting effect on the BITRI reputation / Image</t>
  </si>
  <si>
    <t xml:space="preserve">1. Annual savings or net revenue of  1%-9% budgeted revenue          </t>
  </si>
  <si>
    <t xml:space="preserve">Minor improvement in efficiency research projects and services, environmental/ financial sustainability, or infrastructure </t>
  </si>
  <si>
    <t>Opportunity Response:</t>
  </si>
  <si>
    <t>Exploit- Ensure that the opportunity is realised</t>
  </si>
  <si>
    <t>Enhance-Increase the probability and impact of the opportunity</t>
  </si>
  <si>
    <t>Share- Allocate ownership of the opportunity to a 3rd party</t>
  </si>
  <si>
    <t>Accept- Willing to take advantage of the opportunity if it occurs but do nothing to pursue it</t>
  </si>
  <si>
    <t>Transformative</t>
  </si>
  <si>
    <r>
      <t>CAUSE (</t>
    </r>
    <r>
      <rPr>
        <sz val="10"/>
        <rFont val="Arial"/>
        <family val="2"/>
      </rPr>
      <t>that which gives rise to any action</t>
    </r>
    <r>
      <rPr>
        <b/>
        <sz val="10"/>
        <rFont val="Arial"/>
        <family val="2"/>
      </rPr>
      <t>)</t>
    </r>
  </si>
  <si>
    <t>IMPACT (1-5)</t>
  </si>
  <si>
    <t>LIKELIHOOD SCORE (1-5)</t>
  </si>
  <si>
    <t>INHERENT RISK (Impact x Likelihood</t>
  </si>
  <si>
    <t>RESIDUAL RISK</t>
  </si>
  <si>
    <t>RISK OWNER (Job Title)</t>
  </si>
  <si>
    <r>
      <t xml:space="preserve">RISK STRATEGY </t>
    </r>
    <r>
      <rPr>
        <sz val="10"/>
        <rFont val="Arial"/>
        <family val="2"/>
      </rPr>
      <t xml:space="preserve">(Terminate, Treat, Transfer, Tolerate) </t>
    </r>
  </si>
  <si>
    <t>CONTROLS(What is in place to prevent, manage risk?)</t>
  </si>
  <si>
    <t>1/5 (0.2)</t>
  </si>
  <si>
    <t>2/5 (0.4)</t>
  </si>
  <si>
    <t>3/5 (0.6)</t>
  </si>
  <si>
    <t>4/5 (0.8)</t>
  </si>
  <si>
    <t>5/5 (1)</t>
  </si>
  <si>
    <t>Treat</t>
  </si>
  <si>
    <t>F1</t>
  </si>
  <si>
    <t xml:space="preserve">Treat </t>
  </si>
  <si>
    <t>F1.2</t>
  </si>
  <si>
    <t>DHC</t>
  </si>
  <si>
    <t>P2.1</t>
  </si>
  <si>
    <t>P2</t>
  </si>
  <si>
    <t>DRP</t>
  </si>
  <si>
    <t>P3</t>
  </si>
  <si>
    <t>P3.1</t>
  </si>
  <si>
    <t>EDT</t>
  </si>
  <si>
    <t>CONTROL EFFECTIVENESS (0.1-1)</t>
  </si>
  <si>
    <t>ED'S</t>
  </si>
  <si>
    <t>Legal and Compliance</t>
  </si>
  <si>
    <t xml:space="preserve"> Description</t>
  </si>
  <si>
    <t>DFO</t>
  </si>
  <si>
    <t>Going concern</t>
  </si>
  <si>
    <t>L1.1</t>
  </si>
  <si>
    <t>L1</t>
  </si>
  <si>
    <t>event where BITRI can not attract, develop and retain employees.</t>
  </si>
  <si>
    <t>1.Uncompetitive remuneration packages  not on the market rate                                                                                                          2.Low Staff Morale  / disengaged  staff                                         3.Failure to have a  long term  training plan                                                                                      4.Lack of resources to train employees in critical areas                                                                                 5.failure to addressing pay equity                                                                                                                                                                                                                 6. Minimal mentoring and coaching efforts                                                    7. Scarcity of highly specialised trained candidates</t>
  </si>
  <si>
    <t>Talent Management</t>
  </si>
  <si>
    <t xml:space="preserve">The event  where BITRI might not have enough resources to sustain its business operations in the forseeable  future to drive BITRI mandate.  </t>
  </si>
  <si>
    <t>Operational efficiency</t>
  </si>
  <si>
    <t xml:space="preserve">Intellectual Property (IP)   </t>
  </si>
  <si>
    <t>Incidental</t>
  </si>
  <si>
    <t xml:space="preserve">a risk event that, if  it occurs, will have little or no impact on achieving outcomes. </t>
  </si>
  <si>
    <t>unnoticed  complaints.</t>
  </si>
  <si>
    <t xml:space="preserve">slight impact on reputation </t>
  </si>
  <si>
    <t>National short term negative media coverage</t>
  </si>
  <si>
    <t xml:space="preserve"> National long term negative media coverage . Long term damage to stakeholder relationships.  </t>
  </si>
  <si>
    <t xml:space="preserve"> International negative  media coverage . Long lasting damage to stakeholder relationships.  </t>
  </si>
  <si>
    <t>Financial loss of above    P250.000 up to P1 000 000.</t>
  </si>
  <si>
    <t>Financial loss of above     P1 000 000 up to   P5 000 000.</t>
  </si>
  <si>
    <t>Financial loss of above      P5 000 000.</t>
  </si>
  <si>
    <t>Not reportable to Regulators</t>
  </si>
  <si>
    <t>Reportable to Regulators with no fines/ penalty. Compliance breaches that requires minimal corrective action.</t>
  </si>
  <si>
    <t>Reportable breach to Regulators with immediate correction to be made  with moderate fines and/or penalties. Moderate legal costs</t>
  </si>
  <si>
    <t xml:space="preserve">Report to regulator requiring major project for corrective action. Substantial legal costs </t>
  </si>
  <si>
    <t>Customer/ Stakeholder/ Employees /</t>
  </si>
  <si>
    <t>Significant prosecution and fines, litigation including class actions, incarceration of leadership, Severe fines, major legal costs.</t>
  </si>
  <si>
    <t>No injuries to employees or third parties, such as customers or vendors                                                -Very low Staff turnover                                           -Isolated low staff morale</t>
  </si>
  <si>
    <t xml:space="preserve">Financial loss ofabove   P50,000 up  to P250.000 </t>
  </si>
  <si>
    <t xml:space="preserve"> minor injuries to employees or third parties,                                    -low staff morale                                             -Low staff turnover</t>
  </si>
  <si>
    <t>Out-patient medical treatment required for employees or third parties,                                      - staff morale issues and moderate turnover                                    -Low employee performance</t>
  </si>
  <si>
    <t>A risk event that, if it occurs, will have a severe impact on achieving desired result,to the extent that one or  more  of its critical outcomes  will not be achieved.</t>
  </si>
  <si>
    <t>A risk event, that, if it occurs, will have a significant impact on achieving desired result, to the extent that one or  more  of its stated outcomes will fall well below the acceptable level.</t>
  </si>
  <si>
    <t xml:space="preserve">Limited in-patient care required for employees or third parties                                               - Widespread staff morale issues and high turnover                                     </t>
  </si>
  <si>
    <t xml:space="preserve">A risk event, that, if it occurs, will have a moderate impact on achieving desired result, to the extent that one or  more  of its stated outcomes  will fall below minimum acceptable level. </t>
  </si>
  <si>
    <t xml:space="preserve">a risk event that if it occurs will have a minor impact on achieving desired result, to the extent that one or  more  of its stated outcomes  will fall well below goals but above minimum acceptable level </t>
  </si>
  <si>
    <t>Financial loss of up to P50,000.</t>
  </si>
  <si>
    <t xml:space="preserve"> No delays or interruption to service.
</t>
  </si>
  <si>
    <t>Severe Inconvenience to localised operations.                                 - addressed in 5 days or more</t>
  </si>
  <si>
    <t>Major Inconvenience to localised operations.                                 - addressed in 2-4days days</t>
  </si>
  <si>
    <t>Moderate Inconvenience to localised operations.                                 - addressed in 1-2 days days</t>
  </si>
  <si>
    <t>Minor Inconvenience to localised operations.         -easily addressed in  less than a day</t>
  </si>
  <si>
    <t>Description</t>
  </si>
  <si>
    <t>Possible</t>
  </si>
  <si>
    <t xml:space="preserve">The event could occur at some time </t>
  </si>
  <si>
    <t>RISK CATEGORY</t>
  </si>
  <si>
    <t>APPETITE LEVEL</t>
  </si>
  <si>
    <t xml:space="preserve">Loss of  organisational ability to utilise  resources effectively, resulting from inefficiencies  in operations.         </t>
  </si>
  <si>
    <t xml:space="preserve">BITRI losing  research outputs to employees and third parties due to poor IP management practices. </t>
  </si>
  <si>
    <t>1. Positive national publicity and external recognition 2.permanent enhancement of the BITRI research reputation    3. results in significant publication, research quality and/ or research funding</t>
  </si>
  <si>
    <t>1.moderate  alignment with BITRI Vision and Mission                              2. moderate contribution to competitive advantage or long term viability                                3. major progress on more than one strategic goal</t>
  </si>
  <si>
    <t>1. Positive national publicity and external recognition           2.moderate ,lasting improvement of  BITRI research reputation / Image                    3. positive effect on BITRI research reputation</t>
  </si>
  <si>
    <t>1.significant alignment with BITRI Vision and Mission                            2.significant contribution to competitive advantage or long term viability                               3. minor progress on more than one strategic goal</t>
  </si>
  <si>
    <r>
      <t xml:space="preserve">The event </t>
    </r>
    <r>
      <rPr>
        <sz val="12"/>
        <rFont val="Calibri Light"/>
        <family val="2"/>
        <scheme val="major"/>
      </rPr>
      <t>might occur</t>
    </r>
    <r>
      <rPr>
        <sz val="12"/>
        <rFont val="Calibri Light"/>
        <family val="1"/>
        <scheme val="major"/>
      </rPr>
      <t xml:space="preserve"> in certain circumstances</t>
    </r>
  </si>
  <si>
    <t xml:space="preserve">Significant injuries or fatalities to employees or third parties                                -high turnover of experienced staff,                                 -very high staff morale issues </t>
  </si>
  <si>
    <t xml:space="preserve">RISK NAME </t>
  </si>
  <si>
    <t>1.Adherence to the Operational and development  budget  / Business cases   for projects /  Rental of BITRI developed properties/ Contract research                                                          2.Monitoring the implementation of Innovation Management Framework (IMF)                                                                   3. Implementation of approved Policies 4.Implementation of Information Technology Governance Framework</t>
  </si>
  <si>
    <t xml:space="preserve">1. Educate employees on importance of IP through orientations and worskshops like WIPO courses                                                         2. Sign declaration of secrecy with internal and external clients                                 </t>
  </si>
  <si>
    <t xml:space="preserve">1. Lack of knowledge and understanding of principles of intellectual  property law  amongst employees                                                                                2. Failure to adhere to and poor implemetation of the Innovation Management Framework, BITRI Intellectual Property Policy and National Intellectual Property laws                                                         3. Research and development of existing technology solutions and adaptation of the same without substantial/patentable improvements                 </t>
  </si>
  <si>
    <t xml:space="preserve">1. Implementation of Terms and conditions of employment Policy                                                                2.Implementation of  staff retention policy                                                 3.Conduct exit interviews                                                                                                 4.Short term training  for all employees and training Associate Researchers through projects funds                                                                                                     5. Engagement of staff during the merger process/ decision to close BITRI                                                              </t>
  </si>
  <si>
    <t xml:space="preserve">Strategic </t>
  </si>
  <si>
    <t xml:space="preserve">Information and Technology </t>
  </si>
  <si>
    <t>Fraud</t>
  </si>
  <si>
    <t>BITRI RISK REGISTER 2025-2026</t>
  </si>
  <si>
    <t>F1.3</t>
  </si>
  <si>
    <t>F1/P3</t>
  </si>
  <si>
    <t>1. Personal Financial Stress                                                            2.Greed and lifestyle inflation                                                              3. Job insecurity                                                                                              4. Lack of internal controls (e.g No availability of Anti Money Laundering &amp; Fraud Policies)</t>
  </si>
  <si>
    <t>1. Corruption and Economic Crime Act-  Clearly define unacceptable behaviors and consequences                                                    2. Whistleblower Policy-Anonymous reporting channels                                                                                                        3.Code of conduct-Ethical guidelines for employees and third parties as per Terms and Conditions of Employment</t>
  </si>
  <si>
    <t xml:space="preserve">1. implementation of approved Policies and procedures (eg.Terms and Conditions of employment, IT Governance framework  (implementation of IT controls).                                                                                                  2.Provision of short term training and training through projects funds.                                                                                                3. Assessment of business cases and projects through   Technology Development Committee                                                                            </t>
  </si>
  <si>
    <t xml:space="preserve">1. Develop and implement  Quality Management Systems (QMS) policy-Implement ISO9001                                                                                                                                                                                         2.Building a culture of Proactive Risk Management (e.g., enhance risk awareness, establishing an effective operational risk management program)     
3. Implement  COBIT.                                                                                                                                  
4. Develop and Implement policies to address corruption &amp; fraud(e.g. Whistle blowing policy)                                                                                                                                                                                               5.Monitor  implementation of IT  Governance Framework and Policies to ensure compliance                                                                                                                                                                                                                                                                                                                                                                                                                                                                                                                                                                                                                                                    6. Put in place a Disaster Recovery Plan  (IT,Operations)                                                                                                  7. Put in place institutional Business Continuity Plan                                                                                             </t>
  </si>
  <si>
    <r>
      <t xml:space="preserve">1. Inadequate and uncertain financing for BITRI operations.                                                                                      2.Failure to raise revenue from commercialisation activities (Failure to commercialise)                                                                 3.Merger or closure of BITRI  </t>
    </r>
    <r>
      <rPr>
        <sz val="9"/>
        <color rgb="FFFF0000"/>
        <rFont val="Aptos Narrow"/>
        <family val="2"/>
      </rPr>
      <t xml:space="preserve">  </t>
    </r>
    <r>
      <rPr>
        <sz val="9"/>
        <rFont val="Aptos Narrow"/>
        <family val="2"/>
      </rPr>
      <t xml:space="preserve">                                                                                       4. Loss of operational effeciency                                                                                                                                                                                                                                                                                                                                5.Unavability of funds for upscaling                                           6.Cyber threats         </t>
    </r>
  </si>
  <si>
    <t xml:space="preserve">1. Lack of Quality Management Systems (QMS) policy                                                                                               2. External &amp; Internal Events (cyber attacks, fraud etc.)
3. Failure to implement Information Technology (IT) Governance Framework
4. Poor training and development of employees 
5.Poor collaboration across departments
6. Cyber attacks                                                                                      7. Inadequate finances                                       8.natural disasters(floods, outbreak of communicable diseases
</t>
  </si>
  <si>
    <t>1. breach of I.T. security controls through data breaches , malware, ramson ware,hacking, virus, phishing, insider threat                                                                                                                                                                                             2. system outage, hardware failure, software bugs, misconfiguration . sofware vulnerability                                                                                      3.Poor I.T. governance, inadequate training of policies                                                                                   4. No records standards implemented</t>
  </si>
  <si>
    <r>
      <t>1.Administrative controls (IT policies and procedures , user access reviews                                                                                   2. Preventative controls (firewalls, anti virus, security awareness training )                                                                                      3. Technical controls ( network segmentation, end point protection                                                                                             4. Corrective controls ( incidence response plans, data backup and recovery, patching and updates )             5. disaster recovery site</t>
    </r>
    <r>
      <rPr>
        <sz val="9"/>
        <color rgb="FFFF0000"/>
        <rFont val="Aptos Narrow"/>
        <family val="2"/>
      </rPr>
      <t xml:space="preserve">                                                            </t>
    </r>
    <r>
      <rPr>
        <sz val="9"/>
        <rFont val="Aptos Narrow"/>
        <family val="2"/>
      </rPr>
      <t>6.records office in place</t>
    </r>
  </si>
  <si>
    <t>An event of financial loss, disruption or damage to the reputation of BITRI from failure of its software, hardware, information security, compliance , operations and innovation  that significantly alters the way BITRI operates.</t>
  </si>
  <si>
    <t>Event of financial loss, damage to reputation due to activities such as corruption, bribery and intentionally misrepresenting facts, information, or intentions to deceive others.</t>
  </si>
  <si>
    <t>END OF  QUARTER 1 2025-26 RISK TREATMENT PLAN</t>
  </si>
  <si>
    <t xml:space="preserve">REMARKS </t>
  </si>
  <si>
    <r>
      <t xml:space="preserve">1. Develop &amp; implement Revenue  Diversification Strategy and Commercialisation:  
a.To Develop revenue diversification strategy  
b. Develop and implement BITRI Marketing strategy </t>
    </r>
    <r>
      <rPr>
        <b/>
        <sz val="9"/>
        <color rgb="FFC00000"/>
        <rFont val="Aptos Narrow"/>
        <family val="2"/>
      </rPr>
      <t xml:space="preserve">
</t>
    </r>
    <r>
      <rPr>
        <sz val="9"/>
        <rFont val="Aptos Narrow"/>
        <family val="2"/>
      </rPr>
      <t xml:space="preserve">c.  Upscale of BITRI products  (from laboratory  to industry level)  
d. Pursue grants from various government agencies at local and international level  
 e.   Increase efforts on contract research and consultancy   </t>
    </r>
    <r>
      <rPr>
        <b/>
        <sz val="9"/>
        <rFont val="Aptos Narrow"/>
        <family val="2"/>
      </rPr>
      <t xml:space="preserve">                                                                          </t>
    </r>
    <r>
      <rPr>
        <sz val="9"/>
        <rFont val="Aptos Narrow"/>
        <family val="2"/>
      </rPr>
      <t xml:space="preserve">                                                                                                                                                                                             f.Develop inherited properties (to develop a plan)/actively pursue opportunities to derive income from the properties   ( LOT 3 Motel, assessment of houses for rental in Gaborone West,develop and utilise Maun/ Palapye/ Ngwaketse Jurisdiction) 
g.Cultivate strong relationships with government officials, policymakers, and funding agencies to advocate for continued funding support                                                                                  2.Implement a cost management programme/strategy on:
A.electricity                                                                                                                                                                                                                                                                     </t>
    </r>
  </si>
  <si>
    <t xml:space="preserve">Implementing ISO 9001 would help BITRI to establish robust processes,  and encourage a culture of continuous improvement, where every Policy developed will be ISO 9001 compliant.  Lack of funding for BITRI operations is of concern as the Institution struggles to pay salaries and Suppliers on time.           </t>
  </si>
  <si>
    <t xml:space="preserve">1. Develop, implement and monitor  Staff Retention Plan and Succession Plans
  2. Develop and budget for long and short term training for all employees                                                                                                                                                                                                                                                                                                                   3.Collaboration  to share and develop required skills  (Develop and implement mentorship and Coaching Programs )                                                                                                                                                                                                                                                                                                                                                                                                                  4.Regularly conduct employee surveys annually  and implement initiatives to enhance engagement, recognition, and morale​                                                                                                                                                     5. Review remuneration and compensation benefits  to be competitive (ie, offer competitive salaries, performance based incentives, compensation benefit packages including health care, retirement plans, wellness programs                                                      </t>
  </si>
  <si>
    <t>Programs that need to be developed to improve staff morale have been affected by lack of funding. No resignations noted since beginning of financial year which could be attributed to the country's challenged economy which has affected organisations subventions hence leading to limited alternative job opportunities</t>
  </si>
  <si>
    <t xml:space="preserve">BITRI to intensify capacity building in IP to build an IP awareness culture and deliver on excellent IP management practices.The proposal on Capacity building levels on IP  and IP rights in BITRI to be finalised. </t>
  </si>
  <si>
    <t xml:space="preserve">1-2: officers encouraged to register for   WIPO courses. Two (2) officers who sat for   DL101 have passed. A proposal is in place to guide Staff, Management and Board  on capacity building levels on intellectual property rights in BITRI.  
3.To revive IP Championship for every Division is ongoing where IST/ Energy/ BMS Divisions have nominated representatives.    Follow up being made with the remaining Divisions.   
 4. Ongoing , to liase with the Strategy Office to share reports for follow up by TTO
  5.Two (2) IP disclosures made (stereo project and a devise used for holding samples during polishing). Furthermore, two (2) researchers who have basic skills for patent information search and analysis are engaged to investigate patentability of the above. Patent search done awaiting the TDC meeting for the report to be presented.
TDC has not met to evalaute the three (3) new  research proposals  received for assessment. </t>
  </si>
  <si>
    <t xml:space="preserve">Due to the decline in Government funding and inability to raise additional revenue to sustain the Institution  operations, BITRI struggles to meet its obligation when they fell due where  suppliers could not be paid on time and some contracts not renewed. </t>
  </si>
  <si>
    <t xml:space="preserve">1.Build capacity on IP amongst BITRI employees  
 2.Create an IP aware culture in BITRI  
 3.Establish and empower IP Champions
4. Strategy Office share completed reports for follow up by TTO for IP disclosure and protection  processes                                                                                                                                                      5.Continue monitoring and implementing the IMF and BITRI Intellectual Property ( IP) Policy    </t>
  </si>
  <si>
    <t xml:space="preserve">1. Ongoing, This comprises the following; Review  and Alignment with the Data Protection Act which is in progress; classification of data has been completed. The following are in progress: alignment with Data Protection Act, handling of data, Defining processes for data access rights and storage and Establishing definitions and levels of access to data.
2. IT staff have been  trained on COBIT with IT Governance Framework being implemented and currently working on   Definition of operational procedures. 
3.Training on Information and Technology Risks scheduled to be conducted every quarter where Risk awareness training conducted  for staff and management.This will be extended to cover the Board.
4. Plans on replacement of IT  Network Infrastructure has been delayed due to budget limitations
5.Access control system was installed at BITRI HQ and BITRI B Lab buildings but now not functional. IT working on obtaining  necessary tools to enable functionalitywhich has been affected by insufficient funding.
6. There is need for a Qualified Records Practitioner to take responibility of BITRI records
</t>
  </si>
  <si>
    <t xml:space="preserve">Compliance with the regulations  will enhance and boost confidence on stakeholders , hence the need to improve the infrastructure. </t>
  </si>
  <si>
    <t xml:space="preserve">1.Develop and Implement Anti Money Laundering and/or Fraud Policy for BITRI                                                                                                                                                                                                             2.Develop a Procurement  Plan and use approved Suppliers database  
3.Creation of Procurement oversight unit with an officer reporting directly to the CEO working along with Procurement office/division                                                                            4.Conduct training to Staff on Fraud, corruption, ethics  
5.Conduct investigations and Surcharge of those found guilty as per BITRI Terms and Condition of employment        </t>
  </si>
  <si>
    <t>Policies and procedures to be in place to prevent inethical behaviours.</t>
  </si>
  <si>
    <t xml:space="preserve">1. Develop &amp; implement Revenue  Diversification Strategy and Commercialisation:  
a.To Develop revenue diversification strategy  
b. Develop and implement BITRI Marketing strategy 
c.  Upscale of BITRI products  (from laboratory  to industry level)  
d. Pursue grants from various government agencies at local and international level  
 e.   Increase efforts on contract research and consultancy                                                                                                                                                                                                                                                                          f.Develop inherited properties (to develop a plan)/actively pursue opportunities to derive income from the properties   ( LOT 3 Motel, assessment of houses for rental in Gaborone West,develop and utilise Maun/ Palapye/ Ngwaketse Jurisdiction) 
g.Cultivate strong relationships with government officials, policymakers, and funding agencies to advocate for continued funding support 
 2.Implement a cost management programme/strategy on:
A.electricity                                                                                                                                                                                                                                                                   </t>
  </si>
  <si>
    <t>1.Adherence to the Operational and development  budget  / Business cases   for projects /  Rental of BITRI developed properties/ Contract research                                                          2.Monitoring the implementation of Innovation Management Framework (IMF) 
3. Implementation of approved Policies 
4.Implementation of Information Technology Governance Framework</t>
  </si>
  <si>
    <t>1.Uncompetitive remuneration packages  not on the market rate
2.Low Staff Morale  / disengaged  staff 
3.Failure to have a  long term  training plan 
4.Lack of resources to train employees in critical areas
5.failure to addressing pay equity 
6. Minimal mentoring and coaching efforts  
7. Scarcity of highly specialised trained candidates</t>
  </si>
  <si>
    <t xml:space="preserve">1. Implementation of Terms and conditions of employment Policy 
2.Implementation of  staff retention policy 
3.Conduct exit interviews
4.Short term training  for all employees and training Associate Researchers through projects funds 
 5. Engagement of staff during the merger process/ decision to close BITRI                                                              </t>
  </si>
  <si>
    <t xml:space="preserve">1. Lack of Quality Management Systems (QMS) policy                                                                                               2. External &amp; Internal Events (cyber attacks, fraud etc.)
3. Failure to implement Information Technology (IT) Governance Framework
4. Poor training and development of employees 
5.Poor collaboration across departments
6. Cyber attacks
7. Inadequate finances
8.natural disasters(floods, outbreak of communicable diseases
</t>
  </si>
  <si>
    <t xml:space="preserve">1. implementation of approved Policies and procedures (eg.Terms and Conditions of employment, IT Governance framework  (implementation of IT controls).                                                                                                  2.Provision of short term training and training through projects funds.
3. Assessment of business cases and projects through   Technology Development Committee                                                                            </t>
  </si>
  <si>
    <t xml:space="preserve">1. Develop and implement  Quality Management Systems (QMS) policy-Implement ISO9001                                                                                                                                                                                         2.Building a culture of Proactive Risk Management (e.g., enhance risk awareness, establishing an effective operational risk management program)     
3. Implement  COBIT.                                                                                                                                  
4. Develop and Implement policies to address corruption &amp; fraud(e.g. Whistle blowing policy)                                                                                                                                                                                               5.Monitor  implementation of IT  Governance Framework and Policies to ensure compliance                                                                                                                                                                                                                                                                                                                                                                                                                                                                                                                                                                                                                                                    6. Put in place a Disaster Recovery Plan  (IT,Operations)
7. Put in place institutional Business Continuity Plan                                                                                             </t>
  </si>
  <si>
    <t xml:space="preserve">1. Lack of knowledge and understanding of principles of intellectual  property law  amongst employees
 2. Failure to adhere to and poor implemetation of the Innovation Management Framework, BITRI Intellectual Property Policy and National Intellectual Property laws
3. Research and development of existing technology solutions and adaptation of the same without substantial/patentable improvements                 </t>
  </si>
  <si>
    <t xml:space="preserve">1. Educate employees on importance of IP through orientations and worskshops like WIPO courses
2. Sign declaration of secrecy with internal and external clients                                 </t>
  </si>
  <si>
    <t xml:space="preserve">1.Build capacity on IP amongst BITRI employees 
2.Create an IP aware culture in BITRI   
3.Establish and empower IP Champions 
4. Strategy Office share completed reports for follow up by TTO for IP disclosure and protection  processes                                                                                                                                                                                                                     5.Continue monitoring and implementing the IMF and BITRI IP Policy    </t>
  </si>
  <si>
    <t xml:space="preserve">1. Develop, implement and monitor  Staff Retention Plan and Succession Plans
2. Develop and budget for long and short term training for all employees                                                                                                                                                                                                                                                                                                                   3.Collaboration  to share and develop required skills  (Develop and implement mentorship and Coaching Programs )                                                                                                                                                                                                                                                                                                                                                                                                                  4.Regularly conduct employee surveys annually  and implement initiatives to enhance engagement, recognition, and morale​ 
5. Review remuneration and compensation benefits  to be competitive (ie, offer competitive salaries, performance based incentives, compensation benefit packages including health care, retirement plans, wellness programs                                                      </t>
  </si>
  <si>
    <t xml:space="preserve">1.Development and Implementation of data governance and management framework (Data Protection Act ,No.18 of 2014)                                                                                                                                                                                                                                      2. Adopt Information and Technology Governance Framework (COBIT)
3.Training on Information and technology risks (Board, Management and Staff)
4. Replacement of IT  and Network infrustructure (Headquaters and  disaster recovery site)                                                                                                                                                                                                      5. Install adequate access control 
6. Recruit a qualified Records Practitioner       </t>
  </si>
  <si>
    <t>1. Personal Financial Stress 
2.Greed and lifestyle inflation 
 3. Job insecurity 
 4. Lack of internal controls (e.g No availability of Anti Money Laundering &amp; Fraud Policies)</t>
  </si>
  <si>
    <t>1. breach of I.T. security controls through data breaches , malware, ramson ware,hacking, virus, phishing, insider threat                                                                                                                                                                                             2. system outage, hardware failure, software bugs, misconfiguration . sofware vulnerability 
3.Poor I.T. governance, inadequate training of policies
4. No records standards implemented</t>
  </si>
  <si>
    <t>1.Administrative controls (IT policies and procedures , user access reviews 
2. Preventative controls (firewalls, anti virus, security awareness training ) 
3. Technical controls ( network segmentation, end point protection
4. Corrective controls ( incidence response plans, data backup and recovery, patching and updates )
5. disaster recovery site
6.records office in place</t>
  </si>
  <si>
    <t>1. Corruption and Economic Crime Act-  Clearly define unacceptable behaviors and consequences
2. Whistleblower Policy-Anonymous reporting channels 
3.Code of conduct-Ethical guidelines for employees and third parties as per Terms and Conditions of Employment</t>
  </si>
  <si>
    <t xml:space="preserve">1.Develop and Implement Anti Money Laundering and/or Fraud Policy for BITRI                                                                                                                                                                                                             2.Develop a Procurement  Plan and use approved Suppliers database
3.Creation of Procurement oversight unit with an officer reporting directly to the CEO working along with Procurement office/division                                                                                                                                                                      4.Conduct training to Staff on Fraud, corruption, ethics 
5.Conduct investigations and Surcharge of those found guilty as per BITRI Terms and Condition of employment        </t>
  </si>
  <si>
    <t xml:space="preserve">QUARTER 1 2025-26 MONITORING </t>
  </si>
  <si>
    <t xml:space="preserve">1. Inadequate and uncertain financing for BITRI operations.
2.Failure to raise revenue from commercialisation activities (Failure to commercialise)                                                                 3.Merger or closure of BITRI
4. Loss of operational effeciency                                                                                                                                                                                                                                                                                                                                5.Unavability of funds for upscaling 
 6.Cyber threats         </t>
  </si>
  <si>
    <t xml:space="preserve">1. Lack of Quality Management Systems (QMS) policy 
2. External &amp; Internal Events (cyber attacks, fraud etc.)
3. Failure to implement Information Technology (IT) Governance Framework
4. Poor training and development of employees 
5.Poor collaboration across departments
6. Cyber attacks
7. Inadequate finances
8.natural disasters(floods, outbreak of communicable diseases
</t>
  </si>
  <si>
    <t xml:space="preserve">1.Develop and Implement Anti Money Laundering and/or Fraud Policy for BITRI                                                                                                                                                                                                             2.Develop a Procurement  Plan and use approved Suppliers database
3.Creation of Procurement oversight unit with an officer reporting directly to the CEO working along with Procurement office/division 
4.Conduct training to Staff on Fraud, corruption, ethics 
5.Conduct investigations and Surcharge of those found guilty as per BITRI Terms and Condition of employment        </t>
  </si>
  <si>
    <t>1.Administrative controls (IT policies and procedures , user access reviews 
2. Preventative controls (firewalls, anti virus, security awareness training ) 
3. Technical controls ( network segmentation, end point protection
4. Corrective controls ( incidence response plans, data backup and recovery, patching and updates )
5. Disaster recovery site
6.Records office in place</t>
  </si>
  <si>
    <t xml:space="preserve">1. Inadequate and uncertain financing for BITRI operations.
2.Failure to raise revenue from commercialisation activities (Failure to commercialise)
3.Merger or closure of BITRI
4. Loss of operational effeciency                                                                                                                                                                                                                                                                                                                                5.Unavability of funds for upscaling 
 6.Cyber threats         </t>
  </si>
  <si>
    <t>LIKELIHOOD(1-5)</t>
  </si>
  <si>
    <r>
      <t xml:space="preserve"> QUARTER 1 RESIDUAL </t>
    </r>
    <r>
      <rPr>
        <b/>
        <sz val="8"/>
        <color rgb="FF212121"/>
        <rFont val="Arial"/>
        <family val="2"/>
      </rPr>
      <t xml:space="preserve">(IMP xLHxCE) </t>
    </r>
  </si>
  <si>
    <r>
      <t xml:space="preserve">QUARTER 1 RESIDUAL </t>
    </r>
    <r>
      <rPr>
        <b/>
        <sz val="8"/>
        <color rgb="FF212121"/>
        <rFont val="Arial"/>
        <family val="2"/>
      </rPr>
      <t xml:space="preserve">(IMP xLHxCE) </t>
    </r>
  </si>
  <si>
    <t xml:space="preserve">1A. Revenue Strategy to be developed by the next financia year  by end of December 2025.  
B-C: BITRI to develop a marketing strategy so as to influence upscale of BITRI products.   
1D. BITRI continue exploring multiple funding sources and revenue-generating activities through  international avenues  and locally ( exploring different calls for proposals). No recorded collaborative partnerships in this quarter.  No funding received  as yet  
1E. BITRI collaborating with individuals and institutions to conduct research and secure, share and develop required skills (eg, EMRS,eMobility).                                                                                                                                                                                           F.  No funds to develop the Maun, Palapye and Gaborone undeveloped properties. BITRI to consider partnering wth a developer to develop the Gaborone West residential property. 
 G. BITRI continues to engage with  our parent Ministry (Ministry of Communications and Inovation (MCI) to provide funding for piloting and commercialisation. NDP 12 proposed budget included piloting which has since been discontinued.   Plan is to include it in National Transformation Program (NTP) but in the meantime,advocating for a new model is necessary. 
 2A.Measures continue to be put in place on savings on the consumptions of resources; on electricity-  greening BITRI project  is still being monitored at  the Solar PV Plant at BITRI A and B, Every month the Energy Divisions monitor production and  investigates usage to attain  return on investment.  BITRI has been able to achieve at least 40% reduction in the electricity bills. BITRI to identify  risks/ have a plan  should the PV system ‘go-down’ or on a very cloudy day with no PV production since we could trigger a very high maximum demand and “remain with it”/pay  for 12 months. For this reason, we need to find ways of reducing our loads and improving our "energy use culture". 
</t>
  </si>
  <si>
    <t>1.  The Institutional QMS Policy is to be developed/cast alongside the systems Documentation which define BITRI’s ISO 9001 in its totality &amp; accordingly guide Implementation. Staff readiness (Training) is a precursor to developing the Policy. Execution plan for establishment of the ISO 9001 QMS has been developed. Project to be embarked upon (Process: - Staff Training&gt;Documentation&gt;Implementation&gt;Certification) following identification of Funds. Part training already provided to BMS, STTF, CMS employees. 
2. The BITRI Enterprise Risk Management Framework was presented to the Board and approved, awaiting  feedback from Union (BOPEU) so as to commence cascading.
3. COBIT needs be adopted at Organisational strategy level and a risk owner assigned to it. A budget is required.                                                                                                                                                                            4. Whistle blowing policy has been developed and waiting for feedback from Union (BOPEU) before cascading to staff, Corruption prevention policy to be developed by end of Quarter 3 of 2025/26 Financial year. 
5. Cyber security awareness training  has been scheduled for August 2025. Monitoring malicious threats on e-mails , ongoing monitoring of network by running vulnerability assessments and patch those with challenges are done every quarter.                                                                                                                                                                                                                                                6. a) IT Disaster recovery site in Palapye is partially functional due to hardware failure (outdated), the recovery plan is therefore compromised. Hardware reached end of life support and needs to be replaced. 
 b) Prioritise Business Continuity Plan for the Institution, to be developed by end of Quarter 3 2025/26 Financial year</t>
  </si>
  <si>
    <t xml:space="preserve">1.Succession Policy and Plan and Retention policy in place. To develop Staff retention plan  by end of Quarter 2.                                                                                                                                                                                                                                                         2.  Financial constraints make it difficult to plan for long term training. however, to be developed for Financial year 2025/26
3.  Mentoring and coaching plan is being developed and will be ready for implementation during the  third quarter. 
4. Employee survey to be done by third quarter( to identify issues that affect employees). BITRI staff meeting was held on the 5th June 2025
5.The BITRI 2025/26 subvention does not allow for the review of remuneration benefits
</t>
  </si>
  <si>
    <t xml:space="preserve">1.Anti Money Laundering and Fraud Policy / Corruption Prevention Policy  to be developed during financial year 2025-26.
2.Procurement plan 2025-26  developed and shared with staff  for departmental contributions, Supplier database in place, to  advert ise for more suppliers to submit for inclusion in the database.
3.Finance Unit to execute the procurement oversight roles-formal appointment to be communicated                                                                                                                          4.Training on corruption and ethics has been conducted for Management  to be rolled out to the rest of staff                                                                                                                                                                                                                                                          5. Disciplinary action for unethical behaviour to be dealt with accordingly.          </t>
  </si>
  <si>
    <t xml:space="preserve">1.Anti Money Laundering and Fraud Policy / Corruption Prevention Policy  to be developed during financial year 2025-26.
2.Procurement plan 2025-26  developed and shared with staff  for departmental contributions, Supplier database in place, to  advert ise for more suppliers to submit for inclusion in the database.
3.Finance Unit to execute the procurement oversight roles-formal appointment to be communicated 
4.Training on corruption and ethics has been conducted for Management  to be rolled out to the rest of staff                                                                                                                                                                                                                                                          5. Disciplinary action for unethical behaviour to be dealt with accordingly.          </t>
  </si>
  <si>
    <t>Policies and procedures to be developed to prevent unethical behaviours.</t>
  </si>
  <si>
    <t>1.  The Institutional QMS Policy is to be developed/cast alongside the systems Documentation which define BITRI’s ISO 9001 in its totality &amp; accordingly guide Implementation. Staff readiness (Training) is a precursor to developing the Policy. Execution plan for establishment of the ISO 9001 QMS has been developed. Project to be embarked upon (Process: - Staff Training&gt;Documentation&gt;Implementation&gt;Certification) following identification of Funds. 
2. The BITRI Enterprise Risk Management Framework was presented to the Board and approved, awaiting  feedback from Union (BOPEU) so as to commence cascading.
3. COBIT needs be adopted at Organisational strategy level and a risk owner assigned to it. A budget is required.                                                                                                                                                                            4. Whistle blowing policy has been developed and waiting for feedback from Union (BOPEU) before cascading to staff, Corruption prevention policy to be developed by end of Quarter 3 of 2025/26 Financial year. 
5. Cyber security awareness training  has been scheduled for August 2025. Monitoring malicious threats on e-mails , ongoing monitoring of network by running vulnerability assessments and patch those with challenges are done every quarter.                                                                                                                                                                                                                                                6. a) IT Disaster recovery site in Palapye is partially functional due to hardware failure (outdated), the recovery plan is therefore compromised. Hardware reached end of life support and needs to be replaced. 
 b) Prioritise Business Continuity Plan for the Institution, to be developed by end of Quarter 3 2025/26 Financial year</t>
  </si>
  <si>
    <t xml:space="preserve">1A. Revenue Strategy to be developed by the next financial year  by end of December 2025.  
B-C: BITRI to develop a marketing strategy so as to influence upscale of BITRI products.   
1D. BITRI continue exploring multiple funding sources and revenue-generating activities through  international avenues  and locally ( exploring different calls for proposals). No recorded collaborative partnerships in this quarter.  No funding received  as yet  
1E. BITRI collaborating with individuals and institutions to conduct research and secure, share and develop required skills (eg, EMRS,eMobility).                                                                                                                                                                                           F.  No funds to develop the Maun, Palapye and Gaborone undeveloped properties. BITRI to consider partnering wth a developer to develop the Gaborone West residential property. 
 G. BITRI continues to engage with  our parent Ministry (Ministry of Communications and Innovation (MCI) to provide funding for piloting and commercialisation. NDP 12 proposed budget included piloting which has since been discontinued.   Plan is to include it in National Transformation Program (NTP) but in the meantime,advocating for a new model is necessary. 
 2A.Measures continue to be put in place on savings on the consumptions of resources; on electricity-  greening BITRI project  is still being monitored at  the Solar PV Plant at BITRI A and B, Every month the Energy Divisions monitor production and  investigates usage to attain  return on investment.  BITRI has been able to achieve at least 40% reduction in the electricity bills. BITRI to identify  risks/ have a plan  should the PV system ‘go-down’ or on a very cloudy day with no PV production since we could trigger a very high maximum demand and “remain with it”/pay  for 12 months. For this reason, we need to find ways of reducing our loads and improving our "energy use culture". 
</t>
  </si>
  <si>
    <t>Due to the decline in Government funding and inability to raise additional revenue to sustain the Institution  operations, BITRI struggles to meet its obligation when they fell due where  suppliers could not be paid on time and some contracts not renewed. To implement a plan to reduce the maximum demand penalty on the use of electricity.</t>
  </si>
  <si>
    <t xml:space="preserve">1.Development and Implementation of data governance and management framework (Data Protection Act ,No.18 of 2014)                                                                                                                                                                                                                                      2. Adopt Information and Technology Governance Framework (COBIT)  
3.Training on Information and technology risks (Board, Management and Staff)
4. Replacement of IT  and Network infrastructure (Headquarters and  disaster recovery site)                                                                                                                                                                                                      5. Install adequate access control
 6. Recruit a qualified Records Practitioner       </t>
  </si>
  <si>
    <t xml:space="preserve">1. Ongoing, This comprises the following; Review  and Alignment with the Data Protection Act which is in progress; classification of data has been completed. The following are in progress: alignment with Data Protection Act, handling of data, Defining processes for data access rights and storage and Establishing definitions and levels of access to data.
2. IT staff have been  trained on COBIT with IT Governance Framework being implemented and currently working on   Definition of operational procedures. 
3.Training on Information and Technology Risks scheduled to be conducted every quarter where Risk awareness training conducted  for staff and management.This will be extended to cover the Board.
4. Plans on replacement of IT  Network Infrastructure has been delayed due to budget limitations
5.Access control system was installed at BITRI HQ and BITRI B Lab buildings but now not functional. IT working on obtaining  necessary tools to enable functionality which has been affected by insufficient funding.
6. There is need for a Qualified Records Practitioner to take responsibility of BITRI records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</si>
</sst>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P&quot;#,##0;[Red]\-&quot;P&quot;#,##0"/>
    <numFmt numFmtId="8" formatCode="&quot;P&quot;#,##0.00;[Red]\-&quot;P&quot;#,##0.00"/>
    <numFmt numFmtId="164" formatCode="[$-409]mmmm\ d\,\ yyyy;@"/>
    <numFmt numFmtId="165" formatCode="mmmm\ d\,\ yyyy"/>
    <numFmt numFmtId="166" formatCode="&quot;P&quot;#,##0.0"/>
  </numFmts>
  <fonts count="50" x14ac:knownFonts="1">
    <font>
      <sz val="11"/>
      <color theme="1"/>
      <name val="Calibri"/>
      <family val="2"/>
      <scheme val="minor"/>
    </font>
    <font>
      <b/>
      <sz val="11"/>
      <color theme="1"/>
      <name val="Calibri"/>
      <family val="2"/>
      <scheme val="minor"/>
    </font>
    <font>
      <b/>
      <sz val="10"/>
      <name val="Arial"/>
      <family val="2"/>
    </font>
    <font>
      <sz val="10"/>
      <name val="Arial"/>
      <family val="2"/>
    </font>
    <font>
      <b/>
      <sz val="10"/>
      <color theme="2"/>
      <name val="Calibri Light"/>
      <family val="1"/>
      <scheme val="major"/>
    </font>
    <font>
      <b/>
      <sz val="10"/>
      <name val="Calibri Light"/>
      <family val="1"/>
      <scheme val="major"/>
    </font>
    <font>
      <sz val="10"/>
      <name val="Calibri Light"/>
      <family val="1"/>
      <scheme val="major"/>
    </font>
    <font>
      <b/>
      <sz val="10"/>
      <color theme="0"/>
      <name val="Calibri Light"/>
      <family val="1"/>
      <scheme val="major"/>
    </font>
    <font>
      <sz val="12"/>
      <name val="Arial"/>
      <family val="2"/>
    </font>
    <font>
      <b/>
      <sz val="12"/>
      <name val="Arial"/>
      <family val="2"/>
    </font>
    <font>
      <sz val="9"/>
      <name val="Arial"/>
      <family val="2"/>
    </font>
    <font>
      <b/>
      <sz val="20"/>
      <name val="Arial"/>
      <family val="2"/>
    </font>
    <font>
      <sz val="14"/>
      <color theme="1"/>
      <name val="Calibri"/>
      <family val="2"/>
      <scheme val="minor"/>
    </font>
    <font>
      <b/>
      <sz val="9"/>
      <color indexed="8"/>
      <name val="Times New Roman"/>
      <family val="1"/>
    </font>
    <font>
      <sz val="9"/>
      <color indexed="8"/>
      <name val="Times New Roman"/>
      <family val="1"/>
    </font>
    <font>
      <b/>
      <sz val="11"/>
      <color indexed="8"/>
      <name val="Symbol"/>
      <family val="1"/>
      <charset val="2"/>
    </font>
    <font>
      <b/>
      <sz val="12"/>
      <color theme="0"/>
      <name val="Aharoni"/>
      <charset val="177"/>
    </font>
    <font>
      <sz val="11"/>
      <color theme="1"/>
      <name val="Arial"/>
      <family val="2"/>
    </font>
    <font>
      <sz val="11"/>
      <name val="Calibri"/>
      <family val="2"/>
      <scheme val="minor"/>
    </font>
    <font>
      <b/>
      <sz val="10"/>
      <color theme="1"/>
      <name val="Arial"/>
      <family val="2"/>
    </font>
    <font>
      <b/>
      <sz val="11"/>
      <color theme="1"/>
      <name val="Arial"/>
      <family val="2"/>
    </font>
    <font>
      <b/>
      <sz val="11"/>
      <name val="Calibri"/>
      <family val="2"/>
      <scheme val="minor"/>
    </font>
    <font>
      <sz val="10"/>
      <name val="Calibri Light"/>
      <family val="2"/>
      <scheme val="major"/>
    </font>
    <font>
      <b/>
      <sz val="9"/>
      <name val="Arial"/>
      <family val="2"/>
    </font>
    <font>
      <sz val="11"/>
      <color rgb="FFFF0000"/>
      <name val="Calibri"/>
      <family val="2"/>
      <scheme val="minor"/>
    </font>
    <font>
      <b/>
      <sz val="10"/>
      <color rgb="FFFF0000"/>
      <name val="Calibri Light"/>
      <family val="1"/>
      <scheme val="major"/>
    </font>
    <font>
      <b/>
      <sz val="10"/>
      <name val="Calibri Light"/>
      <family val="2"/>
      <scheme val="major"/>
    </font>
    <font>
      <sz val="12"/>
      <color theme="1"/>
      <name val="Calibri"/>
      <family val="2"/>
      <scheme val="minor"/>
    </font>
    <font>
      <b/>
      <sz val="12"/>
      <name val="Calibri Light"/>
      <family val="1"/>
      <scheme val="major"/>
    </font>
    <font>
      <sz val="12"/>
      <name val="Calibri Light"/>
      <family val="1"/>
      <scheme val="major"/>
    </font>
    <font>
      <sz val="12"/>
      <name val="Calibri Light"/>
      <family val="2"/>
      <scheme val="major"/>
    </font>
    <font>
      <b/>
      <sz val="10"/>
      <color theme="1"/>
      <name val="Calibri Light"/>
      <family val="2"/>
      <scheme val="major"/>
    </font>
    <font>
      <b/>
      <sz val="10"/>
      <color theme="0"/>
      <name val="Calibri Light"/>
      <family val="2"/>
      <scheme val="major"/>
    </font>
    <font>
      <sz val="10"/>
      <color theme="1"/>
      <name val="Calibri Light"/>
      <family val="2"/>
      <scheme val="major"/>
    </font>
    <font>
      <b/>
      <sz val="12"/>
      <color theme="1"/>
      <name val="Arial"/>
      <family val="2"/>
    </font>
    <font>
      <b/>
      <sz val="9"/>
      <name val="Aptos Narrow"/>
      <family val="2"/>
    </font>
    <font>
      <b/>
      <sz val="10"/>
      <name val="Aptos Narrow"/>
      <family val="2"/>
    </font>
    <font>
      <sz val="9"/>
      <name val="Aptos Narrow"/>
      <family val="2"/>
    </font>
    <font>
      <sz val="10"/>
      <name val="Aptos Narrow"/>
      <family val="2"/>
    </font>
    <font>
      <sz val="9"/>
      <color theme="1"/>
      <name val="Aptos Narrow"/>
      <family val="2"/>
    </font>
    <font>
      <sz val="11"/>
      <color theme="1"/>
      <name val="Aptos Narrow"/>
      <family val="2"/>
    </font>
    <font>
      <sz val="9"/>
      <color rgb="FFFF0000"/>
      <name val="Aptos Narrow"/>
      <family val="2"/>
    </font>
    <font>
      <b/>
      <sz val="10"/>
      <color rgb="FF212121"/>
      <name val="Arial"/>
      <family val="2"/>
    </font>
    <font>
      <b/>
      <sz val="8"/>
      <color rgb="FF212121"/>
      <name val="Arial"/>
      <family val="2"/>
    </font>
    <font>
      <b/>
      <sz val="9"/>
      <color rgb="FFC00000"/>
      <name val="Aptos Narrow"/>
      <family val="2"/>
    </font>
    <font>
      <b/>
      <sz val="9"/>
      <color rgb="FF212121"/>
      <name val="Arial"/>
      <family val="2"/>
    </font>
    <font>
      <b/>
      <sz val="9"/>
      <color rgb="FF212121"/>
      <name val="Calibri"/>
      <family val="2"/>
      <scheme val="minor"/>
    </font>
    <font>
      <sz val="11"/>
      <name val="Arial"/>
      <family val="2"/>
    </font>
    <font>
      <b/>
      <sz val="9"/>
      <name val="Aptos"/>
      <family val="2"/>
    </font>
    <font>
      <sz val="9"/>
      <name val="Aptos"/>
      <family val="2"/>
    </font>
  </fonts>
  <fills count="13">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indexed="13"/>
        <bgColor indexed="64"/>
      </patternFill>
    </fill>
    <fill>
      <patternFill patternType="solid">
        <fgColor indexed="10"/>
        <bgColor indexed="64"/>
      </patternFill>
    </fill>
    <fill>
      <patternFill patternType="solid">
        <fgColor rgb="FF00FF00"/>
        <bgColor indexed="64"/>
      </patternFill>
    </fill>
    <fill>
      <patternFill patternType="solid">
        <fgColor indexed="11"/>
        <bgColor indexed="64"/>
      </patternFill>
    </fill>
    <fill>
      <patternFill patternType="solid">
        <fgColor rgb="FF00B050"/>
        <bgColor indexed="64"/>
      </patternFill>
    </fill>
    <fill>
      <patternFill patternType="solid">
        <fgColor theme="0" tint="-0.249977111117893"/>
        <bgColor indexed="64"/>
      </patternFill>
    </fill>
    <fill>
      <patternFill patternType="solid">
        <fgColor rgb="FFFFC0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3" fillId="0" borderId="0"/>
    <xf numFmtId="0" fontId="3" fillId="0" borderId="0"/>
  </cellStyleXfs>
  <cellXfs count="281">
    <xf numFmtId="0" fontId="0" fillId="0" borderId="0" xfId="0"/>
    <xf numFmtId="0" fontId="5" fillId="0" borderId="4" xfId="1" applyFont="1" applyBorder="1" applyAlignment="1">
      <alignment horizontal="center" vertical="top"/>
    </xf>
    <xf numFmtId="0" fontId="6" fillId="0" borderId="4" xfId="1" applyFont="1" applyBorder="1" applyAlignment="1">
      <alignment vertical="top"/>
    </xf>
    <xf numFmtId="0" fontId="6" fillId="0" borderId="5" xfId="1" applyFont="1" applyBorder="1" applyAlignment="1">
      <alignment vertical="top" wrapText="1"/>
    </xf>
    <xf numFmtId="0" fontId="5" fillId="0" borderId="2" xfId="1" applyFont="1" applyBorder="1" applyAlignment="1">
      <alignment horizontal="center" vertical="top"/>
    </xf>
    <xf numFmtId="0" fontId="6" fillId="0" borderId="2" xfId="1" applyFont="1" applyBorder="1" applyAlignment="1">
      <alignment vertical="top"/>
    </xf>
    <xf numFmtId="0" fontId="6" fillId="0" borderId="2" xfId="1" applyFont="1" applyBorder="1" applyAlignment="1">
      <alignment vertical="top" wrapText="1"/>
    </xf>
    <xf numFmtId="0" fontId="5" fillId="0" borderId="5" xfId="1" applyFont="1" applyBorder="1" applyAlignment="1">
      <alignment horizontal="center" vertical="top"/>
    </xf>
    <xf numFmtId="0" fontId="6" fillId="0" borderId="5" xfId="1" applyFont="1" applyBorder="1" applyAlignment="1">
      <alignment vertical="top"/>
    </xf>
    <xf numFmtId="0" fontId="5" fillId="0" borderId="6" xfId="1" applyFont="1" applyBorder="1" applyAlignment="1">
      <alignment horizontal="center" vertical="top"/>
    </xf>
    <xf numFmtId="0" fontId="6" fillId="0" borderId="6" xfId="1" applyFont="1" applyBorder="1" applyAlignment="1">
      <alignment vertical="top"/>
    </xf>
    <xf numFmtId="0" fontId="6" fillId="0" borderId="6" xfId="1" applyFont="1" applyBorder="1" applyAlignment="1">
      <alignment vertical="top" wrapText="1"/>
    </xf>
    <xf numFmtId="0" fontId="4" fillId="3" borderId="2" xfId="1" applyFont="1" applyFill="1" applyBorder="1" applyAlignment="1">
      <alignment vertical="center" wrapText="1"/>
    </xf>
    <xf numFmtId="0" fontId="4" fillId="3" borderId="3" xfId="1" applyFont="1" applyFill="1" applyBorder="1" applyAlignment="1">
      <alignment vertical="center" wrapText="1"/>
    </xf>
    <xf numFmtId="0" fontId="7" fillId="3" borderId="2" xfId="1" applyFont="1" applyFill="1" applyBorder="1" applyAlignment="1">
      <alignment vertical="center" wrapText="1"/>
    </xf>
    <xf numFmtId="0" fontId="7" fillId="3" borderId="3" xfId="1" applyFont="1" applyFill="1" applyBorder="1" applyAlignment="1">
      <alignment vertical="center" wrapText="1"/>
    </xf>
    <xf numFmtId="0" fontId="6" fillId="0" borderId="12" xfId="1" applyFont="1" applyBorder="1" applyAlignment="1">
      <alignment vertical="top"/>
    </xf>
    <xf numFmtId="0" fontId="6" fillId="0" borderId="7" xfId="1" applyFont="1" applyBorder="1" applyAlignment="1">
      <alignment vertical="top"/>
    </xf>
    <xf numFmtId="0" fontId="6" fillId="0" borderId="16" xfId="1" applyFont="1" applyBorder="1" applyAlignment="1">
      <alignment vertical="top"/>
    </xf>
    <xf numFmtId="0" fontId="6" fillId="0" borderId="18" xfId="1" applyFont="1" applyBorder="1" applyAlignment="1">
      <alignment vertical="top"/>
    </xf>
    <xf numFmtId="0" fontId="7" fillId="3" borderId="1" xfId="1" applyFont="1" applyFill="1" applyBorder="1"/>
    <xf numFmtId="0" fontId="8" fillId="0" borderId="0" xfId="2" applyFont="1" applyAlignment="1">
      <alignment wrapText="1"/>
    </xf>
    <xf numFmtId="0" fontId="8" fillId="0" borderId="9" xfId="2" applyFont="1" applyBorder="1" applyAlignment="1">
      <alignment wrapText="1"/>
    </xf>
    <xf numFmtId="0" fontId="3" fillId="0" borderId="7" xfId="2" applyBorder="1" applyAlignment="1">
      <alignment horizontal="center" vertical="center" wrapText="1"/>
    </xf>
    <xf numFmtId="0" fontId="8" fillId="6" borderId="2" xfId="2" applyFont="1" applyFill="1" applyBorder="1" applyAlignment="1">
      <alignment horizontal="center" vertical="center" wrapText="1"/>
    </xf>
    <xf numFmtId="0" fontId="8" fillId="5" borderId="2" xfId="2" applyFont="1" applyFill="1" applyBorder="1" applyAlignment="1">
      <alignment horizontal="center" vertical="center" wrapText="1"/>
    </xf>
    <xf numFmtId="0" fontId="8" fillId="4" borderId="2" xfId="2" applyFont="1" applyFill="1" applyBorder="1" applyAlignment="1">
      <alignment horizontal="center" vertical="center" wrapText="1"/>
    </xf>
    <xf numFmtId="0" fontId="8" fillId="7" borderId="2" xfId="2" applyFont="1" applyFill="1" applyBorder="1" applyAlignment="1">
      <alignment horizontal="center" vertical="center" wrapText="1"/>
    </xf>
    <xf numFmtId="0" fontId="3" fillId="0" borderId="11" xfId="2" applyBorder="1" applyAlignment="1">
      <alignment horizontal="center" vertical="center" wrapText="1"/>
    </xf>
    <xf numFmtId="0" fontId="8" fillId="8" borderId="2" xfId="2" applyFont="1" applyFill="1" applyBorder="1" applyAlignment="1">
      <alignment horizontal="center" vertical="center" wrapText="1"/>
    </xf>
    <xf numFmtId="49" fontId="11" fillId="0" borderId="0" xfId="0" applyNumberFormat="1" applyFont="1"/>
    <xf numFmtId="0" fontId="8" fillId="9" borderId="2" xfId="2" applyFont="1" applyFill="1" applyBorder="1" applyAlignment="1">
      <alignment horizontal="center" vertical="center" wrapText="1"/>
    </xf>
    <xf numFmtId="0" fontId="2" fillId="3" borderId="4" xfId="2" applyFont="1" applyFill="1" applyBorder="1" applyAlignment="1">
      <alignment horizontal="center" vertical="top" wrapText="1"/>
    </xf>
    <xf numFmtId="0" fontId="2" fillId="3" borderId="23" xfId="2" applyFont="1" applyFill="1" applyBorder="1" applyAlignment="1">
      <alignment horizontal="center" vertical="top" wrapText="1"/>
    </xf>
    <xf numFmtId="0" fontId="2" fillId="3" borderId="0" xfId="2" applyFont="1" applyFill="1" applyAlignment="1">
      <alignment horizontal="center" vertical="top" wrapText="1"/>
    </xf>
    <xf numFmtId="0" fontId="2" fillId="2" borderId="2" xfId="2" applyFont="1" applyFill="1" applyBorder="1" applyAlignment="1">
      <alignment horizontal="center" vertical="center" wrapText="1"/>
    </xf>
    <xf numFmtId="0" fontId="2" fillId="2" borderId="11" xfId="2" applyFont="1" applyFill="1" applyBorder="1" applyAlignment="1">
      <alignment horizontal="center" vertical="center" wrapText="1"/>
    </xf>
    <xf numFmtId="0" fontId="12" fillId="0" borderId="0" xfId="0" applyFont="1"/>
    <xf numFmtId="0" fontId="3" fillId="0" borderId="0" xfId="0" applyFont="1"/>
    <xf numFmtId="49" fontId="3" fillId="0" borderId="0" xfId="0" applyNumberFormat="1" applyFont="1"/>
    <xf numFmtId="0" fontId="13" fillId="0" borderId="13" xfId="0" applyFont="1" applyBorder="1"/>
    <xf numFmtId="0" fontId="13" fillId="0" borderId="14" xfId="0" applyFont="1" applyBorder="1" applyAlignment="1">
      <alignment horizontal="center"/>
    </xf>
    <xf numFmtId="0" fontId="14" fillId="0" borderId="17" xfId="0" applyFont="1" applyBorder="1"/>
    <xf numFmtId="0" fontId="15" fillId="0" borderId="15" xfId="0" applyFont="1" applyBorder="1" applyAlignment="1">
      <alignment horizontal="center" vertical="top" wrapText="1"/>
    </xf>
    <xf numFmtId="0" fontId="14" fillId="0" borderId="19" xfId="0" applyFont="1" applyBorder="1"/>
    <xf numFmtId="0" fontId="15" fillId="0" borderId="20" xfId="0" applyFont="1" applyBorder="1" applyAlignment="1">
      <alignment horizontal="center" vertical="top" wrapText="1"/>
    </xf>
    <xf numFmtId="0" fontId="17" fillId="0" borderId="0" xfId="0" applyFont="1"/>
    <xf numFmtId="0" fontId="0" fillId="0" borderId="1" xfId="0" applyBorder="1" applyAlignment="1">
      <alignment horizontal="left" vertical="top"/>
    </xf>
    <xf numFmtId="0" fontId="18" fillId="0" borderId="1" xfId="0" applyFont="1" applyBorder="1" applyAlignment="1">
      <alignment horizontal="left" vertical="top"/>
    </xf>
    <xf numFmtId="0" fontId="1" fillId="0" borderId="0" xfId="0" applyFont="1"/>
    <xf numFmtId="0" fontId="1" fillId="10" borderId="1" xfId="0" applyFont="1" applyFill="1" applyBorder="1"/>
    <xf numFmtId="0" fontId="0" fillId="0" borderId="1" xfId="0" applyBorder="1" applyAlignment="1">
      <alignment horizontal="center"/>
    </xf>
    <xf numFmtId="0" fontId="0" fillId="10" borderId="1" xfId="0" applyFill="1" applyBorder="1" applyAlignment="1">
      <alignment horizontal="center"/>
    </xf>
    <xf numFmtId="0" fontId="1" fillId="0" borderId="25" xfId="0" applyFont="1" applyBorder="1" applyAlignment="1">
      <alignment horizontal="left" vertical="top"/>
    </xf>
    <xf numFmtId="0" fontId="1" fillId="0" borderId="26" xfId="0" applyFont="1" applyBorder="1" applyAlignment="1">
      <alignment horizontal="left" vertical="top"/>
    </xf>
    <xf numFmtId="0" fontId="1" fillId="0" borderId="27" xfId="0" applyFont="1" applyBorder="1" applyAlignment="1">
      <alignment horizontal="left" vertical="top"/>
    </xf>
    <xf numFmtId="0" fontId="0" fillId="0" borderId="30" xfId="0" applyBorder="1"/>
    <xf numFmtId="0" fontId="0" fillId="4" borderId="30" xfId="0" applyFill="1" applyBorder="1"/>
    <xf numFmtId="0" fontId="0" fillId="10" borderId="35" xfId="0" applyFill="1" applyBorder="1" applyAlignment="1">
      <alignment horizontal="center"/>
    </xf>
    <xf numFmtId="0" fontId="21" fillId="11" borderId="1" xfId="0" applyFont="1" applyFill="1" applyBorder="1" applyAlignment="1">
      <alignment horizontal="left" vertical="top"/>
    </xf>
    <xf numFmtId="0" fontId="21" fillId="11" borderId="1" xfId="0" applyFont="1" applyFill="1" applyBorder="1" applyAlignment="1">
      <alignment horizontal="left" vertical="top" wrapText="1"/>
    </xf>
    <xf numFmtId="0" fontId="1" fillId="0" borderId="1" xfId="0" applyFont="1" applyBorder="1" applyAlignment="1">
      <alignment horizontal="left" vertical="top"/>
    </xf>
    <xf numFmtId="0" fontId="0" fillId="0" borderId="1" xfId="0" applyBorder="1"/>
    <xf numFmtId="0" fontId="18" fillId="0" borderId="0" xfId="0" applyFont="1"/>
    <xf numFmtId="0" fontId="22" fillId="0" borderId="9" xfId="1" applyFont="1" applyBorder="1" applyAlignment="1">
      <alignment vertical="top" wrapText="1"/>
    </xf>
    <xf numFmtId="0" fontId="22" fillId="0" borderId="8" xfId="1" applyFont="1" applyBorder="1" applyAlignment="1">
      <alignment vertical="top" wrapText="1"/>
    </xf>
    <xf numFmtId="0" fontId="22" fillId="0" borderId="11" xfId="1" applyFont="1" applyBorder="1" applyAlignment="1">
      <alignment vertical="top" wrapText="1"/>
    </xf>
    <xf numFmtId="0" fontId="6" fillId="0" borderId="1" xfId="1" applyFont="1" applyBorder="1" applyAlignment="1">
      <alignment vertical="top" wrapText="1"/>
    </xf>
    <xf numFmtId="0" fontId="5" fillId="0" borderId="0" xfId="1" applyFont="1" applyAlignment="1">
      <alignment vertical="top"/>
    </xf>
    <xf numFmtId="0" fontId="6" fillId="0" borderId="0" xfId="1" applyFont="1" applyAlignment="1">
      <alignment vertical="top"/>
    </xf>
    <xf numFmtId="0" fontId="17" fillId="0" borderId="0" xfId="0" applyFont="1" applyAlignment="1">
      <alignment horizontal="center" vertical="top"/>
    </xf>
    <xf numFmtId="0" fontId="17" fillId="0" borderId="0" xfId="0" applyFont="1" applyAlignment="1">
      <alignment horizontal="center"/>
    </xf>
    <xf numFmtId="0" fontId="2" fillId="0" borderId="1" xfId="0" applyFont="1" applyBorder="1" applyAlignment="1" applyProtection="1">
      <alignment horizontal="center" vertical="top" wrapText="1"/>
      <protection locked="0"/>
    </xf>
    <xf numFmtId="0" fontId="2" fillId="0" borderId="1" xfId="0" applyFont="1" applyBorder="1" applyAlignment="1">
      <alignment horizontal="center" vertical="top" wrapText="1"/>
    </xf>
    <xf numFmtId="0" fontId="2" fillId="2" borderId="1" xfId="0" applyFont="1" applyFill="1" applyBorder="1" applyAlignment="1" applyProtection="1">
      <alignment horizontal="center" vertical="top" wrapText="1"/>
      <protection locked="0"/>
    </xf>
    <xf numFmtId="164" fontId="2" fillId="0" borderId="1" xfId="0" applyNumberFormat="1" applyFont="1" applyBorder="1" applyAlignment="1" applyProtection="1">
      <alignment horizontal="center" vertical="top" wrapText="1"/>
      <protection locked="0"/>
    </xf>
    <xf numFmtId="0" fontId="24" fillId="0" borderId="0" xfId="0" applyFont="1"/>
    <xf numFmtId="0" fontId="25" fillId="0" borderId="4" xfId="1" applyFont="1" applyBorder="1" applyAlignment="1">
      <alignment horizontal="center" vertical="top"/>
    </xf>
    <xf numFmtId="0" fontId="25" fillId="0" borderId="2" xfId="1" applyFont="1" applyBorder="1" applyAlignment="1">
      <alignment horizontal="center" vertical="top"/>
    </xf>
    <xf numFmtId="0" fontId="25" fillId="0" borderId="5" xfId="1" applyFont="1" applyBorder="1" applyAlignment="1">
      <alignment horizontal="center" vertical="top"/>
    </xf>
    <xf numFmtId="0" fontId="25" fillId="0" borderId="6" xfId="1" applyFont="1" applyBorder="1" applyAlignment="1">
      <alignment horizontal="center" vertical="top"/>
    </xf>
    <xf numFmtId="0" fontId="23" fillId="2" borderId="1" xfId="0" applyFont="1" applyFill="1" applyBorder="1" applyAlignment="1">
      <alignment horizontal="center" vertical="top" wrapText="1"/>
    </xf>
    <xf numFmtId="0" fontId="22" fillId="0" borderId="14" xfId="1" applyFont="1" applyBorder="1" applyAlignment="1">
      <alignment vertical="top" wrapText="1"/>
    </xf>
    <xf numFmtId="0" fontId="22" fillId="0" borderId="15" xfId="1" applyFont="1" applyBorder="1" applyAlignment="1">
      <alignment vertical="top" wrapText="1"/>
    </xf>
    <xf numFmtId="0" fontId="22" fillId="0" borderId="20" xfId="1" applyFont="1" applyBorder="1" applyAlignment="1">
      <alignment vertical="top" wrapText="1"/>
    </xf>
    <xf numFmtId="0" fontId="22" fillId="0" borderId="7" xfId="1" applyFont="1" applyBorder="1" applyAlignment="1">
      <alignment vertical="top" wrapText="1"/>
    </xf>
    <xf numFmtId="0" fontId="22" fillId="0" borderId="16" xfId="1" applyFont="1" applyBorder="1" applyAlignment="1">
      <alignment vertical="top" wrapText="1"/>
    </xf>
    <xf numFmtId="0" fontId="22" fillId="0" borderId="18" xfId="1" applyFont="1" applyBorder="1" applyAlignment="1">
      <alignment vertical="top" wrapText="1"/>
    </xf>
    <xf numFmtId="0" fontId="26" fillId="3" borderId="0" xfId="1" applyFont="1" applyFill="1" applyAlignment="1">
      <alignment vertical="center" wrapText="1"/>
    </xf>
    <xf numFmtId="0" fontId="22" fillId="0" borderId="1" xfId="1" applyFont="1" applyBorder="1" applyAlignment="1">
      <alignment vertical="top" wrapText="1"/>
    </xf>
    <xf numFmtId="0" fontId="5" fillId="3" borderId="1" xfId="1" applyFont="1" applyFill="1" applyBorder="1" applyAlignment="1">
      <alignment vertical="center" wrapText="1"/>
    </xf>
    <xf numFmtId="0" fontId="0" fillId="0" borderId="0" xfId="0" applyAlignment="1">
      <alignment horizontal="center" vertical="center"/>
    </xf>
    <xf numFmtId="0" fontId="22" fillId="0" borderId="13" xfId="1" applyFont="1" applyBorder="1" applyAlignment="1">
      <alignment vertical="top" wrapText="1"/>
    </xf>
    <xf numFmtId="0" fontId="22" fillId="0" borderId="17" xfId="1" applyFont="1" applyBorder="1" applyAlignment="1">
      <alignment vertical="top" wrapText="1"/>
    </xf>
    <xf numFmtId="0" fontId="22" fillId="0" borderId="19" xfId="1" applyFont="1" applyBorder="1" applyAlignment="1">
      <alignment vertical="top" wrapText="1"/>
    </xf>
    <xf numFmtId="0" fontId="5" fillId="3" borderId="2" xfId="1" applyFont="1" applyFill="1" applyBorder="1" applyAlignment="1">
      <alignment vertical="center" wrapText="1"/>
    </xf>
    <xf numFmtId="0" fontId="5" fillId="3" borderId="3" xfId="1" applyFont="1" applyFill="1" applyBorder="1" applyAlignment="1">
      <alignment vertical="center" wrapText="1"/>
    </xf>
    <xf numFmtId="0" fontId="5" fillId="3" borderId="1" xfId="1" applyFont="1" applyFill="1" applyBorder="1" applyAlignment="1">
      <alignment horizontal="center"/>
    </xf>
    <xf numFmtId="0" fontId="5" fillId="3" borderId="1" xfId="1" applyFont="1" applyFill="1" applyBorder="1"/>
    <xf numFmtId="0" fontId="7" fillId="3" borderId="1" xfId="1" applyFont="1" applyFill="1" applyBorder="1" applyAlignment="1">
      <alignment vertical="center" wrapText="1"/>
    </xf>
    <xf numFmtId="0" fontId="5" fillId="0" borderId="1" xfId="1" applyFont="1" applyBorder="1" applyAlignment="1">
      <alignment horizontal="center" vertical="top"/>
    </xf>
    <xf numFmtId="0" fontId="6" fillId="0" borderId="1" xfId="1" applyFont="1" applyBorder="1" applyAlignment="1">
      <alignment vertical="top"/>
    </xf>
    <xf numFmtId="0" fontId="27" fillId="0" borderId="0" xfId="0" applyFont="1"/>
    <xf numFmtId="0" fontId="28" fillId="3" borderId="2" xfId="1" applyFont="1" applyFill="1" applyBorder="1" applyAlignment="1">
      <alignment vertical="center" wrapText="1"/>
    </xf>
    <xf numFmtId="0" fontId="28" fillId="3" borderId="3" xfId="1" applyFont="1" applyFill="1" applyBorder="1" applyAlignment="1">
      <alignment vertical="center" wrapText="1"/>
    </xf>
    <xf numFmtId="0" fontId="28" fillId="3" borderId="7" xfId="1" applyFont="1" applyFill="1" applyBorder="1" applyAlignment="1">
      <alignment vertical="center" wrapText="1"/>
    </xf>
    <xf numFmtId="0" fontId="28" fillId="3" borderId="1" xfId="1" applyFont="1" applyFill="1" applyBorder="1" applyAlignment="1">
      <alignment vertical="center" wrapText="1"/>
    </xf>
    <xf numFmtId="0" fontId="28" fillId="0" borderId="4" xfId="1" applyFont="1" applyBorder="1" applyAlignment="1">
      <alignment horizontal="center" vertical="top"/>
    </xf>
    <xf numFmtId="0" fontId="29" fillId="0" borderId="4" xfId="1" applyFont="1" applyBorder="1" applyAlignment="1">
      <alignment vertical="top"/>
    </xf>
    <xf numFmtId="0" fontId="29" fillId="0" borderId="0" xfId="1" applyFont="1" applyAlignment="1">
      <alignment vertical="top" wrapText="1"/>
    </xf>
    <xf numFmtId="0" fontId="29" fillId="0" borderId="5" xfId="1" applyFont="1" applyBorder="1" applyAlignment="1">
      <alignment vertical="top" wrapText="1"/>
    </xf>
    <xf numFmtId="0" fontId="28" fillId="0" borderId="2" xfId="1" applyFont="1" applyBorder="1" applyAlignment="1">
      <alignment horizontal="center" vertical="top"/>
    </xf>
    <xf numFmtId="0" fontId="29" fillId="0" borderId="2" xfId="1" applyFont="1" applyBorder="1" applyAlignment="1">
      <alignment vertical="top"/>
    </xf>
    <xf numFmtId="0" fontId="29" fillId="0" borderId="3" xfId="1" applyFont="1" applyBorder="1" applyAlignment="1">
      <alignment vertical="top" wrapText="1"/>
    </xf>
    <xf numFmtId="0" fontId="29" fillId="0" borderId="2" xfId="1" applyFont="1" applyBorder="1" applyAlignment="1">
      <alignment vertical="top" wrapText="1"/>
    </xf>
    <xf numFmtId="0" fontId="28" fillId="0" borderId="5" xfId="1" applyFont="1" applyBorder="1" applyAlignment="1">
      <alignment horizontal="center" vertical="top"/>
    </xf>
    <xf numFmtId="0" fontId="29" fillId="0" borderId="5" xfId="1" applyFont="1" applyBorder="1" applyAlignment="1">
      <alignment vertical="top"/>
    </xf>
    <xf numFmtId="0" fontId="28" fillId="0" borderId="6" xfId="1" applyFont="1" applyBorder="1" applyAlignment="1">
      <alignment horizontal="center" vertical="top"/>
    </xf>
    <xf numFmtId="0" fontId="29" fillId="0" borderId="6" xfId="1" applyFont="1" applyBorder="1" applyAlignment="1">
      <alignment vertical="top"/>
    </xf>
    <xf numFmtId="0" fontId="29" fillId="0" borderId="10" xfId="1" applyFont="1" applyBorder="1" applyAlignment="1">
      <alignment vertical="top" wrapText="1"/>
    </xf>
    <xf numFmtId="0" fontId="29" fillId="0" borderId="6" xfId="1" applyFont="1" applyBorder="1" applyAlignment="1">
      <alignment vertical="top" wrapText="1"/>
    </xf>
    <xf numFmtId="0" fontId="26" fillId="3" borderId="3" xfId="1" applyFont="1" applyFill="1" applyBorder="1" applyAlignment="1">
      <alignment horizontal="center"/>
    </xf>
    <xf numFmtId="0" fontId="31" fillId="3" borderId="22" xfId="1" applyFont="1" applyFill="1" applyBorder="1"/>
    <xf numFmtId="0" fontId="32" fillId="3" borderId="21" xfId="1" applyFont="1" applyFill="1" applyBorder="1"/>
    <xf numFmtId="0" fontId="31" fillId="3" borderId="2" xfId="1" applyFont="1" applyFill="1" applyBorder="1" applyAlignment="1">
      <alignment horizontal="center" vertical="center" wrapText="1"/>
    </xf>
    <xf numFmtId="0" fontId="26" fillId="3" borderId="12" xfId="1" applyFont="1" applyFill="1" applyBorder="1" applyAlignment="1">
      <alignment vertical="center" wrapText="1"/>
    </xf>
    <xf numFmtId="0" fontId="26" fillId="3" borderId="6" xfId="1" applyFont="1" applyFill="1" applyBorder="1" applyAlignment="1">
      <alignment vertical="center" wrapText="1"/>
    </xf>
    <xf numFmtId="0" fontId="26" fillId="3" borderId="1" xfId="1" applyFont="1" applyFill="1" applyBorder="1" applyAlignment="1">
      <alignment vertical="center" wrapText="1"/>
    </xf>
    <xf numFmtId="0" fontId="26" fillId="0" borderId="4" xfId="1" applyFont="1" applyBorder="1" applyAlignment="1">
      <alignment horizontal="center" vertical="center"/>
    </xf>
    <xf numFmtId="0" fontId="22" fillId="0" borderId="12" xfId="1" applyFont="1" applyBorder="1" applyAlignment="1">
      <alignment vertical="top"/>
    </xf>
    <xf numFmtId="0" fontId="26" fillId="0" borderId="2" xfId="1" applyFont="1" applyBorder="1" applyAlignment="1">
      <alignment horizontal="center" vertical="center"/>
    </xf>
    <xf numFmtId="0" fontId="22" fillId="0" borderId="7" xfId="1" applyFont="1" applyBorder="1" applyAlignment="1">
      <alignment vertical="top"/>
    </xf>
    <xf numFmtId="0" fontId="26" fillId="0" borderId="5" xfId="1" applyFont="1" applyBorder="1" applyAlignment="1">
      <alignment horizontal="center" vertical="center"/>
    </xf>
    <xf numFmtId="0" fontId="22" fillId="0" borderId="16" xfId="1" applyFont="1" applyBorder="1" applyAlignment="1">
      <alignment vertical="top"/>
    </xf>
    <xf numFmtId="0" fontId="26" fillId="0" borderId="6" xfId="1" applyFont="1" applyBorder="1" applyAlignment="1">
      <alignment horizontal="center" vertical="center"/>
    </xf>
    <xf numFmtId="0" fontId="33" fillId="0" borderId="0" xfId="0" applyFont="1" applyAlignment="1">
      <alignment horizontal="center" vertical="center"/>
    </xf>
    <xf numFmtId="0" fontId="33" fillId="0" borderId="0" xfId="0" applyFont="1"/>
    <xf numFmtId="0" fontId="31" fillId="3" borderId="1" xfId="0" applyFont="1" applyFill="1" applyBorder="1"/>
    <xf numFmtId="0" fontId="22" fillId="0" borderId="0" xfId="0" applyFont="1"/>
    <xf numFmtId="0" fontId="26" fillId="3" borderId="3" xfId="1" applyFont="1" applyFill="1" applyBorder="1" applyAlignment="1">
      <alignment vertical="center" wrapText="1"/>
    </xf>
    <xf numFmtId="0" fontId="22" fillId="0" borderId="18" xfId="1" applyFont="1" applyBorder="1" applyAlignment="1">
      <alignment vertical="top"/>
    </xf>
    <xf numFmtId="0" fontId="0" fillId="0" borderId="27" xfId="0" applyBorder="1"/>
    <xf numFmtId="0" fontId="20" fillId="0" borderId="1" xfId="0" applyFont="1" applyBorder="1"/>
    <xf numFmtId="0" fontId="35" fillId="0" borderId="1" xfId="0" applyFont="1" applyBorder="1" applyAlignment="1">
      <alignment horizontal="left" vertical="top"/>
    </xf>
    <xf numFmtId="0" fontId="36" fillId="0" borderId="1" xfId="0" applyFont="1" applyBorder="1" applyAlignment="1">
      <alignment horizontal="left" vertical="top" wrapText="1"/>
    </xf>
    <xf numFmtId="0" fontId="37" fillId="0" borderId="1" xfId="0" applyFont="1" applyBorder="1" applyAlignment="1">
      <alignment horizontal="left" vertical="top" wrapText="1"/>
    </xf>
    <xf numFmtId="0" fontId="38" fillId="0" borderId="1" xfId="0" applyFont="1" applyBorder="1" applyAlignment="1">
      <alignment horizontal="left" vertical="top" wrapText="1"/>
    </xf>
    <xf numFmtId="0" fontId="37" fillId="0" borderId="1" xfId="0" applyFont="1" applyBorder="1" applyAlignment="1">
      <alignment vertical="top" wrapText="1"/>
    </xf>
    <xf numFmtId="0" fontId="37" fillId="0" borderId="1" xfId="0" applyFont="1" applyBorder="1" applyAlignment="1" applyProtection="1">
      <alignment horizontal="center" vertical="top" wrapText="1"/>
      <protection locked="0"/>
    </xf>
    <xf numFmtId="0" fontId="39" fillId="0" borderId="1" xfId="0" applyFont="1" applyBorder="1" applyAlignment="1">
      <alignment horizontal="center" vertical="top"/>
    </xf>
    <xf numFmtId="0" fontId="37" fillId="4" borderId="1" xfId="0" applyFont="1" applyFill="1" applyBorder="1" applyAlignment="1" applyProtection="1">
      <alignment horizontal="center" vertical="top" wrapText="1"/>
      <protection locked="0"/>
    </xf>
    <xf numFmtId="0" fontId="37" fillId="2" borderId="1" xfId="0" applyFont="1" applyFill="1" applyBorder="1" applyAlignment="1" applyProtection="1">
      <alignment horizontal="center" vertical="top" wrapText="1"/>
      <protection locked="0"/>
    </xf>
    <xf numFmtId="0" fontId="37" fillId="0" borderId="1" xfId="0" applyFont="1" applyBorder="1" applyAlignment="1">
      <alignment horizontal="center" vertical="top"/>
    </xf>
    <xf numFmtId="17" fontId="38" fillId="0" borderId="1" xfId="0" applyNumberFormat="1" applyFont="1" applyBorder="1" applyAlignment="1">
      <alignment horizontal="center" vertical="top"/>
    </xf>
    <xf numFmtId="0" fontId="40" fillId="0" borderId="0" xfId="0" applyFont="1"/>
    <xf numFmtId="0" fontId="36" fillId="0" borderId="1" xfId="0" applyFont="1" applyBorder="1" applyAlignment="1">
      <alignment horizontal="left" vertical="top"/>
    </xf>
    <xf numFmtId="0" fontId="38" fillId="0" borderId="1" xfId="0" applyFont="1" applyBorder="1" applyAlignment="1">
      <alignment vertical="top" wrapText="1"/>
    </xf>
    <xf numFmtId="0" fontId="38" fillId="0" borderId="1" xfId="0" applyFont="1" applyBorder="1" applyAlignment="1" applyProtection="1">
      <alignment horizontal="center" vertical="top" wrapText="1"/>
      <protection locked="0"/>
    </xf>
    <xf numFmtId="0" fontId="38" fillId="0" borderId="1" xfId="0" applyFont="1" applyBorder="1" applyAlignment="1">
      <alignment horizontal="center" vertical="top"/>
    </xf>
    <xf numFmtId="0" fontId="38" fillId="4" borderId="1" xfId="0" applyFont="1" applyFill="1" applyBorder="1" applyAlignment="1" applyProtection="1">
      <alignment horizontal="center" vertical="top" wrapText="1"/>
      <protection locked="0"/>
    </xf>
    <xf numFmtId="0" fontId="37" fillId="12" borderId="1" xfId="0" applyFont="1" applyFill="1" applyBorder="1" applyAlignment="1" applyProtection="1">
      <alignment horizontal="center" vertical="top" wrapText="1"/>
      <protection locked="0"/>
    </xf>
    <xf numFmtId="0" fontId="37" fillId="0" borderId="1" xfId="0" applyFont="1" applyBorder="1" applyAlignment="1">
      <alignment horizontal="center" vertical="top" wrapText="1"/>
    </xf>
    <xf numFmtId="0" fontId="35" fillId="0" borderId="1" xfId="0" applyFont="1" applyBorder="1" applyAlignment="1">
      <alignment horizontal="left" vertical="top" wrapText="1"/>
    </xf>
    <xf numFmtId="0" fontId="37" fillId="0" borderId="28" xfId="0" applyFont="1" applyBorder="1" applyAlignment="1">
      <alignment vertical="top" wrapText="1"/>
    </xf>
    <xf numFmtId="0" fontId="2" fillId="2" borderId="1" xfId="0" applyFont="1" applyFill="1" applyBorder="1" applyAlignment="1">
      <alignment horizontal="center" vertical="top" wrapText="1"/>
    </xf>
    <xf numFmtId="0" fontId="37" fillId="0" borderId="28" xfId="0" applyFont="1" applyBorder="1" applyAlignment="1" applyProtection="1">
      <alignment horizontal="center" vertical="top" wrapText="1"/>
      <protection locked="0"/>
    </xf>
    <xf numFmtId="0" fontId="37" fillId="0" borderId="28" xfId="0" applyFont="1" applyBorder="1" applyAlignment="1">
      <alignment horizontal="center" vertical="top"/>
    </xf>
    <xf numFmtId="0" fontId="37" fillId="12" borderId="28" xfId="0" applyFont="1" applyFill="1" applyBorder="1" applyAlignment="1" applyProtection="1">
      <alignment horizontal="center" vertical="top" wrapText="1"/>
      <protection locked="0"/>
    </xf>
    <xf numFmtId="0" fontId="37" fillId="2" borderId="28" xfId="0" applyFont="1" applyFill="1" applyBorder="1" applyAlignment="1" applyProtection="1">
      <alignment horizontal="center" vertical="top" wrapText="1"/>
      <protection locked="0"/>
    </xf>
    <xf numFmtId="0" fontId="39" fillId="0" borderId="1" xfId="0" applyFont="1" applyBorder="1" applyAlignment="1">
      <alignment vertical="top" wrapText="1"/>
    </xf>
    <xf numFmtId="0" fontId="19" fillId="0" borderId="1" xfId="0" applyFont="1" applyBorder="1" applyAlignment="1">
      <alignment horizontal="center" wrapText="1"/>
    </xf>
    <xf numFmtId="0" fontId="0" fillId="0" borderId="0" xfId="0" applyAlignment="1">
      <alignment wrapText="1"/>
    </xf>
    <xf numFmtId="0" fontId="2" fillId="0" borderId="25" xfId="0" applyFont="1" applyBorder="1" applyAlignment="1" applyProtection="1">
      <alignment horizontal="center" vertical="top" wrapText="1"/>
      <protection locked="0"/>
    </xf>
    <xf numFmtId="0" fontId="37" fillId="0" borderId="25" xfId="0" applyFont="1" applyBorder="1" applyAlignment="1">
      <alignment vertical="top" wrapText="1"/>
    </xf>
    <xf numFmtId="0" fontId="17" fillId="0" borderId="1" xfId="0" applyFont="1" applyBorder="1"/>
    <xf numFmtId="0" fontId="0" fillId="0" borderId="32" xfId="0" applyBorder="1"/>
    <xf numFmtId="0" fontId="34" fillId="0" borderId="1" xfId="0" applyFont="1" applyBorder="1"/>
    <xf numFmtId="165" fontId="37" fillId="0" borderId="27" xfId="0" applyNumberFormat="1" applyFont="1" applyBorder="1" applyAlignment="1" applyProtection="1">
      <alignment horizontal="center" vertical="top" wrapText="1"/>
      <protection locked="0"/>
    </xf>
    <xf numFmtId="165" fontId="38" fillId="0" borderId="27" xfId="0" applyNumberFormat="1" applyFont="1" applyBorder="1" applyAlignment="1" applyProtection="1">
      <alignment horizontal="center" vertical="top" wrapText="1"/>
      <protection locked="0"/>
    </xf>
    <xf numFmtId="165" fontId="37" fillId="0" borderId="31" xfId="0" applyNumberFormat="1" applyFont="1" applyBorder="1" applyAlignment="1" applyProtection="1">
      <alignment horizontal="center" vertical="top" wrapText="1"/>
      <protection locked="0"/>
    </xf>
    <xf numFmtId="165" fontId="37" fillId="0" borderId="1" xfId="0" applyNumberFormat="1" applyFont="1" applyBorder="1" applyAlignment="1" applyProtection="1">
      <alignment horizontal="center" vertical="top" wrapText="1"/>
      <protection locked="0"/>
    </xf>
    <xf numFmtId="166" fontId="36" fillId="0" borderId="28" xfId="0" applyNumberFormat="1" applyFont="1" applyBorder="1" applyAlignment="1">
      <alignment horizontal="left" vertical="top" wrapText="1"/>
    </xf>
    <xf numFmtId="6" fontId="36" fillId="0" borderId="28" xfId="0" applyNumberFormat="1" applyFont="1" applyBorder="1" applyAlignment="1">
      <alignment horizontal="left" vertical="top" wrapText="1"/>
    </xf>
    <xf numFmtId="2" fontId="35" fillId="0" borderId="28" xfId="0" applyNumberFormat="1" applyFont="1" applyBorder="1" applyAlignment="1">
      <alignment horizontal="left" vertical="top" wrapText="1"/>
    </xf>
    <xf numFmtId="0" fontId="39" fillId="0" borderId="28" xfId="0" applyFont="1" applyBorder="1" applyAlignment="1">
      <alignment horizontal="left" vertical="top" wrapText="1"/>
    </xf>
    <xf numFmtId="0" fontId="37" fillId="0" borderId="28" xfId="0" applyFont="1" applyBorder="1" applyAlignment="1">
      <alignment horizontal="left" vertical="top" wrapText="1"/>
    </xf>
    <xf numFmtId="0" fontId="38" fillId="0" borderId="28" xfId="0" applyFont="1" applyBorder="1" applyAlignment="1">
      <alignment vertical="top" wrapText="1"/>
    </xf>
    <xf numFmtId="8" fontId="36" fillId="0" borderId="1" xfId="0" applyNumberFormat="1" applyFont="1" applyBorder="1" applyAlignment="1">
      <alignment horizontal="left" vertical="top"/>
    </xf>
    <xf numFmtId="0" fontId="1" fillId="0" borderId="1" xfId="0" applyFont="1" applyBorder="1" applyAlignment="1">
      <alignment horizontal="center" vertical="top" wrapText="1"/>
    </xf>
    <xf numFmtId="0" fontId="42" fillId="0" borderId="1" xfId="0" applyFont="1" applyBorder="1" applyAlignment="1" applyProtection="1">
      <alignment horizontal="center" vertical="top" wrapText="1"/>
      <protection locked="0"/>
    </xf>
    <xf numFmtId="0" fontId="0" fillId="0" borderId="0" xfId="0" applyAlignment="1">
      <alignment horizontal="center" vertical="top"/>
    </xf>
    <xf numFmtId="0" fontId="40" fillId="4" borderId="1" xfId="0" applyFont="1" applyFill="1" applyBorder="1" applyAlignment="1">
      <alignment horizontal="center" vertical="top"/>
    </xf>
    <xf numFmtId="0" fontId="40" fillId="12" borderId="1" xfId="0" applyFont="1" applyFill="1" applyBorder="1" applyAlignment="1">
      <alignment horizontal="center" vertical="top"/>
    </xf>
    <xf numFmtId="0" fontId="0" fillId="12" borderId="1" xfId="0" applyFill="1" applyBorder="1" applyAlignment="1">
      <alignment horizontal="center" vertical="top"/>
    </xf>
    <xf numFmtId="0" fontId="0" fillId="4" borderId="1" xfId="0" applyFill="1" applyBorder="1" applyAlignment="1">
      <alignment horizontal="center" vertical="top"/>
    </xf>
    <xf numFmtId="0" fontId="1" fillId="0" borderId="1" xfId="0" applyFont="1" applyBorder="1"/>
    <xf numFmtId="166" fontId="36" fillId="0" borderId="1" xfId="0" applyNumberFormat="1" applyFont="1" applyBorder="1" applyAlignment="1">
      <alignment horizontal="left" vertical="top" wrapText="1"/>
    </xf>
    <xf numFmtId="6" fontId="36" fillId="0" borderId="1" xfId="0" applyNumberFormat="1" applyFont="1" applyBorder="1" applyAlignment="1">
      <alignment horizontal="left" vertical="top" wrapText="1"/>
    </xf>
    <xf numFmtId="2" fontId="35" fillId="0" borderId="1" xfId="0" applyNumberFormat="1" applyFont="1" applyBorder="1" applyAlignment="1">
      <alignment horizontal="left" vertical="top" wrapText="1"/>
    </xf>
    <xf numFmtId="0" fontId="39" fillId="0" borderId="1" xfId="0" applyFont="1" applyBorder="1" applyAlignment="1">
      <alignment horizontal="left" vertical="top" wrapText="1"/>
    </xf>
    <xf numFmtId="0" fontId="0" fillId="0" borderId="28" xfId="0" applyBorder="1"/>
    <xf numFmtId="165" fontId="38" fillId="0" borderId="1" xfId="0" applyNumberFormat="1" applyFont="1" applyBorder="1" applyAlignment="1" applyProtection="1">
      <alignment horizontal="center" vertical="top" wrapText="1"/>
      <protection locked="0"/>
    </xf>
    <xf numFmtId="0" fontId="35" fillId="0" borderId="28" xfId="0" applyFont="1" applyBorder="1" applyAlignment="1">
      <alignment horizontal="left" vertical="top"/>
    </xf>
    <xf numFmtId="0" fontId="1" fillId="0" borderId="0" xfId="0" applyFont="1" applyAlignment="1">
      <alignment horizontal="center" vertical="top"/>
    </xf>
    <xf numFmtId="0" fontId="0" fillId="0" borderId="35" xfId="0" applyBorder="1"/>
    <xf numFmtId="0" fontId="45" fillId="0" borderId="1" xfId="0" applyFont="1" applyBorder="1" applyAlignment="1" applyProtection="1">
      <alignment horizontal="left" vertical="top" wrapText="1"/>
      <protection locked="0"/>
    </xf>
    <xf numFmtId="0" fontId="46" fillId="2" borderId="1" xfId="0" applyFont="1" applyFill="1" applyBorder="1" applyAlignment="1">
      <alignment horizontal="center" vertical="top" wrapText="1"/>
    </xf>
    <xf numFmtId="0" fontId="0" fillId="0" borderId="28" xfId="0" applyBorder="1" applyAlignment="1">
      <alignment wrapText="1"/>
    </xf>
    <xf numFmtId="2" fontId="0" fillId="0" borderId="0" xfId="0" applyNumberFormat="1"/>
    <xf numFmtId="2" fontId="45" fillId="0" borderId="1" xfId="0" applyNumberFormat="1" applyFont="1" applyBorder="1" applyAlignment="1" applyProtection="1">
      <alignment horizontal="left" vertical="top" wrapText="1"/>
      <protection locked="0"/>
    </xf>
    <xf numFmtId="0" fontId="0" fillId="0" borderId="1" xfId="0" applyBorder="1" applyAlignment="1">
      <alignment horizontal="center" vertical="top"/>
    </xf>
    <xf numFmtId="0" fontId="21" fillId="0" borderId="0" xfId="0" applyFont="1"/>
    <xf numFmtId="0" fontId="47" fillId="0" borderId="0" xfId="0" applyFont="1"/>
    <xf numFmtId="0" fontId="18" fillId="0" borderId="0" xfId="0" applyFont="1" applyAlignment="1">
      <alignment horizontal="center" wrapText="1"/>
    </xf>
    <xf numFmtId="0" fontId="48" fillId="0" borderId="0" xfId="0" applyFont="1"/>
    <xf numFmtId="0" fontId="49" fillId="0" borderId="0" xfId="0" applyFont="1"/>
    <xf numFmtId="0" fontId="48" fillId="0" borderId="1" xfId="0" applyFont="1" applyBorder="1" applyAlignment="1">
      <alignment horizontal="center" vertical="top"/>
    </xf>
    <xf numFmtId="0" fontId="49" fillId="0" borderId="1" xfId="0" applyFont="1" applyBorder="1" applyAlignment="1">
      <alignment horizontal="left" vertical="top" wrapText="1"/>
    </xf>
    <xf numFmtId="0" fontId="49" fillId="0" borderId="1" xfId="0" applyFont="1" applyBorder="1" applyAlignment="1">
      <alignment vertical="top" wrapText="1"/>
    </xf>
    <xf numFmtId="0" fontId="18" fillId="0" borderId="32" xfId="0" applyFont="1" applyBorder="1"/>
    <xf numFmtId="0" fontId="18" fillId="0" borderId="1" xfId="0" applyFont="1" applyBorder="1"/>
    <xf numFmtId="0" fontId="0" fillId="0" borderId="1" xfId="0" applyBorder="1" applyAlignment="1">
      <alignment horizontal="left" vertical="top"/>
    </xf>
    <xf numFmtId="0" fontId="0" fillId="0" borderId="1" xfId="0" applyBorder="1"/>
    <xf numFmtId="0" fontId="0" fillId="0" borderId="1" xfId="0" applyBorder="1" applyAlignment="1">
      <alignment horizontal="left"/>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25" xfId="0" applyBorder="1"/>
    <xf numFmtId="0" fontId="0" fillId="0" borderId="26" xfId="0" applyBorder="1"/>
    <xf numFmtId="0" fontId="0" fillId="0" borderId="27" xfId="0" applyBorder="1"/>
    <xf numFmtId="0" fontId="18" fillId="0" borderId="25" xfId="0" applyFont="1" applyBorder="1" applyAlignment="1">
      <alignment horizontal="left" vertical="top"/>
    </xf>
    <xf numFmtId="0" fontId="18" fillId="0" borderId="26" xfId="0" applyFont="1" applyBorder="1" applyAlignment="1">
      <alignment horizontal="left" vertical="top"/>
    </xf>
    <xf numFmtId="0" fontId="18" fillId="0" borderId="27" xfId="0" applyFont="1" applyBorder="1" applyAlignment="1">
      <alignment horizontal="left" vertical="top"/>
    </xf>
    <xf numFmtId="0" fontId="1" fillId="11" borderId="25" xfId="0" applyFont="1" applyFill="1" applyBorder="1" applyAlignment="1">
      <alignment vertical="top"/>
    </xf>
    <xf numFmtId="0" fontId="1" fillId="11" borderId="26" xfId="0" applyFont="1" applyFill="1" applyBorder="1" applyAlignment="1">
      <alignment vertical="top"/>
    </xf>
    <xf numFmtId="0" fontId="1" fillId="11" borderId="27" xfId="0" applyFont="1" applyFill="1" applyBorder="1" applyAlignment="1">
      <alignment vertical="top"/>
    </xf>
    <xf numFmtId="0" fontId="21" fillId="11" borderId="25" xfId="0" applyFont="1" applyFill="1" applyBorder="1" applyAlignment="1">
      <alignment horizontal="left" vertical="top"/>
    </xf>
    <xf numFmtId="0" fontId="21" fillId="11" borderId="26" xfId="0" applyFont="1" applyFill="1" applyBorder="1" applyAlignment="1">
      <alignment horizontal="left" vertical="top"/>
    </xf>
    <xf numFmtId="0" fontId="21" fillId="11" borderId="27" xfId="0" applyFont="1" applyFill="1" applyBorder="1" applyAlignment="1">
      <alignment horizontal="left" vertical="top"/>
    </xf>
    <xf numFmtId="0" fontId="1" fillId="0" borderId="25" xfId="0" applyFont="1" applyBorder="1" applyAlignment="1">
      <alignment horizontal="left" vertical="top"/>
    </xf>
    <xf numFmtId="0" fontId="1" fillId="0" borderId="27" xfId="0" applyFont="1" applyBorder="1" applyAlignment="1">
      <alignment horizontal="left" vertical="top"/>
    </xf>
    <xf numFmtId="0" fontId="1" fillId="0" borderId="25" xfId="0" applyFont="1" applyBorder="1" applyAlignment="1">
      <alignment horizontal="center"/>
    </xf>
    <xf numFmtId="0" fontId="1" fillId="0" borderId="26" xfId="0" applyFont="1" applyBorder="1" applyAlignment="1">
      <alignment horizontal="center"/>
    </xf>
    <xf numFmtId="0" fontId="1" fillId="10" borderId="29" xfId="0" applyFont="1" applyFill="1" applyBorder="1"/>
    <xf numFmtId="0" fontId="1" fillId="10" borderId="30" xfId="0" applyFont="1" applyFill="1" applyBorder="1"/>
    <xf numFmtId="0" fontId="1" fillId="10" borderId="1" xfId="0" applyFont="1" applyFill="1" applyBorder="1" applyAlignment="1">
      <alignment horizontal="center"/>
    </xf>
    <xf numFmtId="0" fontId="1" fillId="10" borderId="1" xfId="0" applyFont="1" applyFill="1" applyBorder="1"/>
    <xf numFmtId="0" fontId="1" fillId="0" borderId="1" xfId="0" applyFont="1" applyBorder="1" applyAlignment="1">
      <alignment horizontal="left" vertical="top"/>
    </xf>
    <xf numFmtId="0" fontId="0" fillId="0" borderId="28" xfId="0" applyBorder="1" applyAlignment="1">
      <alignment horizontal="center"/>
    </xf>
    <xf numFmtId="0" fontId="0" fillId="0" borderId="32" xfId="0" applyBorder="1" applyAlignment="1">
      <alignment horizontal="center"/>
    </xf>
    <xf numFmtId="0" fontId="1" fillId="0" borderId="29" xfId="0" applyFont="1" applyBorder="1" applyAlignment="1">
      <alignment horizontal="left" vertical="top"/>
    </xf>
    <xf numFmtId="0" fontId="1" fillId="0" borderId="30" xfId="0" applyFont="1" applyBorder="1" applyAlignment="1">
      <alignment horizontal="left" vertical="top"/>
    </xf>
    <xf numFmtId="0" fontId="1" fillId="0" borderId="31" xfId="0" applyFont="1" applyBorder="1" applyAlignment="1">
      <alignment horizontal="left" vertical="top"/>
    </xf>
    <xf numFmtId="0" fontId="1" fillId="0" borderId="33" xfId="0" applyFont="1" applyBorder="1" applyAlignment="1">
      <alignment horizontal="left" vertical="top"/>
    </xf>
    <xf numFmtId="0" fontId="1" fillId="0" borderId="24" xfId="0" applyFont="1" applyBorder="1" applyAlignment="1">
      <alignment horizontal="left" vertical="top"/>
    </xf>
    <xf numFmtId="0" fontId="1" fillId="0" borderId="34" xfId="0" applyFont="1" applyBorder="1" applyAlignment="1">
      <alignment horizontal="left" vertical="top"/>
    </xf>
    <xf numFmtId="0" fontId="0" fillId="0" borderId="29" xfId="0" applyBorder="1" applyAlignment="1">
      <alignment horizontal="left" vertical="top"/>
    </xf>
    <xf numFmtId="0" fontId="0" fillId="0" borderId="30" xfId="0" applyBorder="1" applyAlignment="1">
      <alignment horizontal="left" vertical="top"/>
    </xf>
    <xf numFmtId="0" fontId="0" fillId="0" borderId="31" xfId="0" applyBorder="1" applyAlignment="1">
      <alignment horizontal="left" vertical="top"/>
    </xf>
    <xf numFmtId="0" fontId="0" fillId="0" borderId="33" xfId="0" applyBorder="1" applyAlignment="1">
      <alignment horizontal="left" vertical="top"/>
    </xf>
    <xf numFmtId="0" fontId="0" fillId="0" borderId="24" xfId="0" applyBorder="1" applyAlignment="1">
      <alignment horizontal="left" vertical="top"/>
    </xf>
    <xf numFmtId="0" fontId="0" fillId="0" borderId="34" xfId="0" applyBorder="1" applyAlignment="1">
      <alignment horizontal="left" vertical="top"/>
    </xf>
    <xf numFmtId="0" fontId="1" fillId="0" borderId="25" xfId="0" applyFont="1" applyBorder="1"/>
    <xf numFmtId="0" fontId="1" fillId="0" borderId="26" xfId="0" applyFont="1" applyBorder="1"/>
    <xf numFmtId="0" fontId="1" fillId="0" borderId="27" xfId="0" applyFont="1" applyBorder="1"/>
    <xf numFmtId="0" fontId="1" fillId="0" borderId="0" xfId="0" applyFont="1"/>
    <xf numFmtId="0" fontId="1" fillId="0" borderId="1" xfId="0" applyFont="1" applyBorder="1"/>
    <xf numFmtId="0" fontId="2" fillId="0" borderId="1" xfId="0" applyFont="1" applyBorder="1" applyAlignment="1" applyProtection="1">
      <alignment horizontal="center" vertical="top" wrapText="1"/>
      <protection locked="0"/>
    </xf>
    <xf numFmtId="39" fontId="16" fillId="3" borderId="0" xfId="0" applyNumberFormat="1" applyFont="1" applyFill="1" applyAlignment="1">
      <alignment horizontal="center" vertical="top"/>
    </xf>
    <xf numFmtId="0" fontId="26" fillId="3" borderId="7" xfId="1" applyFont="1" applyFill="1" applyBorder="1" applyAlignment="1">
      <alignment horizontal="center"/>
    </xf>
    <xf numFmtId="0" fontId="26" fillId="3" borderId="3" xfId="1" applyFont="1" applyFill="1" applyBorder="1" applyAlignment="1">
      <alignment horizontal="center"/>
    </xf>
    <xf numFmtId="0" fontId="26" fillId="3" borderId="8" xfId="1" applyFont="1" applyFill="1" applyBorder="1" applyAlignment="1">
      <alignment horizontal="center"/>
    </xf>
    <xf numFmtId="0" fontId="9" fillId="0" borderId="4" xfId="2" applyFont="1" applyBorder="1" applyAlignment="1">
      <alignment horizontal="center" vertical="center" textRotation="90" wrapText="1"/>
    </xf>
    <xf numFmtId="0" fontId="9" fillId="0" borderId="5" xfId="2" applyFont="1" applyBorder="1" applyAlignment="1">
      <alignment horizontal="center" vertical="center" textRotation="90" wrapText="1"/>
    </xf>
    <xf numFmtId="0" fontId="9" fillId="0" borderId="6" xfId="2" applyFont="1" applyBorder="1" applyAlignment="1">
      <alignment horizontal="center" vertical="center" textRotation="90" wrapText="1"/>
    </xf>
    <xf numFmtId="0" fontId="8" fillId="0" borderId="0" xfId="2" applyFont="1" applyAlignment="1">
      <alignment wrapText="1"/>
    </xf>
    <xf numFmtId="0" fontId="9" fillId="0" borderId="0" xfId="2" applyFont="1" applyAlignment="1">
      <alignment horizontal="left" vertical="center"/>
    </xf>
    <xf numFmtId="0" fontId="0" fillId="0" borderId="0" xfId="0"/>
    <xf numFmtId="0" fontId="10" fillId="0" borderId="10" xfId="2" applyFont="1" applyBorder="1" applyAlignment="1">
      <alignment horizontal="left" vertical="center"/>
    </xf>
    <xf numFmtId="0" fontId="0" fillId="0" borderId="10" xfId="0" applyBorder="1"/>
    <xf numFmtId="0" fontId="5" fillId="3" borderId="1" xfId="1" applyFont="1" applyFill="1" applyBorder="1" applyAlignment="1">
      <alignment horizontal="center"/>
    </xf>
  </cellXfs>
  <cellStyles count="3">
    <cellStyle name="Normal" xfId="0" builtinId="0"/>
    <cellStyle name="Normal 3 2" xfId="1" xr:uid="{00000000-0005-0000-0000-000001000000}"/>
    <cellStyle name="Normal_SummaryRiskAssessmentRegister" xfId="2" xr:uid="{00000000-0005-0000-0000-000002000000}"/>
  </cellStyles>
  <dxfs count="18">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8"/>
  <sheetViews>
    <sheetView workbookViewId="0">
      <selection activeCell="A28" sqref="A28:G28"/>
    </sheetView>
  </sheetViews>
  <sheetFormatPr defaultRowHeight="14.5" x14ac:dyDescent="0.35"/>
  <cols>
    <col min="1" max="1" width="14" customWidth="1"/>
  </cols>
  <sheetData>
    <row r="1" spans="1:20" x14ac:dyDescent="0.35">
      <c r="A1" s="265" t="s">
        <v>74</v>
      </c>
      <c r="B1" s="265"/>
      <c r="C1" s="265"/>
    </row>
    <row r="3" spans="1:20" x14ac:dyDescent="0.35">
      <c r="A3" s="246" t="s">
        <v>75</v>
      </c>
      <c r="B3" s="246"/>
      <c r="C3" s="246"/>
      <c r="D3" s="246"/>
      <c r="E3" s="246"/>
      <c r="F3" s="246"/>
      <c r="G3" s="246"/>
      <c r="H3" s="246"/>
      <c r="I3" s="246"/>
      <c r="J3" s="246"/>
      <c r="K3" s="246"/>
      <c r="L3" s="246"/>
      <c r="M3" s="246"/>
      <c r="N3" s="246"/>
      <c r="O3" s="246"/>
      <c r="P3" s="246"/>
      <c r="Q3" s="246"/>
      <c r="R3" s="246"/>
      <c r="S3" s="246"/>
      <c r="T3" s="246"/>
    </row>
    <row r="4" spans="1:20" x14ac:dyDescent="0.35">
      <c r="A4" s="266" t="s">
        <v>76</v>
      </c>
      <c r="B4" s="266"/>
      <c r="C4" s="266"/>
      <c r="D4" s="266"/>
      <c r="E4" s="266"/>
      <c r="F4" s="266"/>
      <c r="G4" s="266"/>
      <c r="H4" s="266"/>
      <c r="I4" s="266"/>
      <c r="J4" s="266"/>
      <c r="K4" s="266"/>
      <c r="L4" s="266"/>
      <c r="M4" s="266"/>
      <c r="N4" s="266"/>
      <c r="O4" s="266"/>
      <c r="P4" s="266"/>
      <c r="Q4" s="266"/>
      <c r="R4" s="266"/>
      <c r="S4" s="266"/>
      <c r="T4" s="266"/>
    </row>
    <row r="5" spans="1:20" x14ac:dyDescent="0.35">
      <c r="A5" s="266" t="s">
        <v>77</v>
      </c>
      <c r="B5" s="266"/>
      <c r="C5" s="266"/>
      <c r="D5" s="266"/>
      <c r="E5" s="266"/>
      <c r="F5" s="266"/>
      <c r="G5" s="266"/>
      <c r="H5" s="262" t="s">
        <v>78</v>
      </c>
      <c r="I5" s="263"/>
      <c r="J5" s="263"/>
      <c r="K5" s="263"/>
      <c r="L5" s="263"/>
      <c r="M5" s="263"/>
      <c r="N5" s="263"/>
      <c r="O5" s="263"/>
      <c r="P5" s="263"/>
      <c r="Q5" s="263"/>
      <c r="R5" s="263"/>
      <c r="S5" s="263"/>
      <c r="T5" s="264"/>
    </row>
    <row r="6" spans="1:20" x14ac:dyDescent="0.35">
      <c r="A6" s="49" t="s">
        <v>79</v>
      </c>
      <c r="B6" s="263"/>
      <c r="C6" s="263"/>
      <c r="D6" s="49" t="s">
        <v>80</v>
      </c>
      <c r="E6" s="263"/>
      <c r="F6" s="263"/>
      <c r="G6" s="263"/>
      <c r="H6" s="263" t="s">
        <v>81</v>
      </c>
      <c r="I6" s="263"/>
      <c r="J6" s="228"/>
      <c r="K6" s="228"/>
      <c r="L6" s="228"/>
      <c r="M6" s="228"/>
      <c r="N6" s="228"/>
      <c r="O6" s="228"/>
      <c r="P6" s="228"/>
      <c r="Q6" s="228"/>
      <c r="R6" s="228"/>
      <c r="S6" s="228"/>
      <c r="T6" s="228"/>
    </row>
    <row r="7" spans="1:20" x14ac:dyDescent="0.35">
      <c r="A7" s="50" t="s">
        <v>82</v>
      </c>
      <c r="B7" s="245" t="s">
        <v>83</v>
      </c>
      <c r="C7" s="245"/>
      <c r="D7" s="245"/>
      <c r="E7" s="245"/>
      <c r="F7" s="245"/>
      <c r="G7" s="245"/>
      <c r="H7" s="246" t="s">
        <v>84</v>
      </c>
      <c r="I7" s="246"/>
      <c r="J7" s="246"/>
      <c r="K7" s="246"/>
      <c r="L7" s="246"/>
      <c r="M7" s="246"/>
      <c r="N7" s="246"/>
      <c r="O7" s="246"/>
      <c r="P7" s="246"/>
      <c r="Q7" s="246"/>
      <c r="R7" s="246"/>
      <c r="S7" s="246"/>
      <c r="T7" s="246"/>
    </row>
    <row r="8" spans="1:20" x14ac:dyDescent="0.35">
      <c r="A8" s="51">
        <v>1</v>
      </c>
      <c r="B8" s="247" t="s">
        <v>85</v>
      </c>
      <c r="C8" s="247"/>
      <c r="D8" s="247"/>
      <c r="E8" s="247"/>
      <c r="F8" s="247"/>
      <c r="G8" s="247"/>
      <c r="H8" s="222"/>
      <c r="I8" s="222"/>
      <c r="J8" s="222"/>
      <c r="K8" s="222"/>
      <c r="L8" s="222"/>
      <c r="M8" s="222"/>
      <c r="N8" s="222"/>
      <c r="O8" s="222"/>
      <c r="P8" s="222"/>
      <c r="Q8" s="222"/>
      <c r="R8" s="222"/>
      <c r="S8" s="222"/>
      <c r="T8" s="222"/>
    </row>
    <row r="9" spans="1:20" x14ac:dyDescent="0.35">
      <c r="A9" s="248">
        <v>2</v>
      </c>
      <c r="B9" s="250" t="s">
        <v>86</v>
      </c>
      <c r="C9" s="251"/>
      <c r="D9" s="251"/>
      <c r="E9" s="251"/>
      <c r="F9" s="251"/>
      <c r="G9" s="252"/>
      <c r="H9" s="256"/>
      <c r="I9" s="257"/>
      <c r="J9" s="257"/>
      <c r="K9" s="257"/>
      <c r="L9" s="257"/>
      <c r="M9" s="257"/>
      <c r="N9" s="257"/>
      <c r="O9" s="257"/>
      <c r="P9" s="257"/>
      <c r="Q9" s="257"/>
      <c r="R9" s="257"/>
      <c r="S9" s="257"/>
      <c r="T9" s="258"/>
    </row>
    <row r="10" spans="1:20" x14ac:dyDescent="0.35">
      <c r="A10" s="249"/>
      <c r="B10" s="253"/>
      <c r="C10" s="254"/>
      <c r="D10" s="254"/>
      <c r="E10" s="254"/>
      <c r="F10" s="254"/>
      <c r="G10" s="255"/>
      <c r="H10" s="259"/>
      <c r="I10" s="260"/>
      <c r="J10" s="260"/>
      <c r="K10" s="260"/>
      <c r="L10" s="260"/>
      <c r="M10" s="260"/>
      <c r="N10" s="260"/>
      <c r="O10" s="260"/>
      <c r="P10" s="260"/>
      <c r="Q10" s="260"/>
      <c r="R10" s="260"/>
      <c r="S10" s="260"/>
      <c r="T10" s="261"/>
    </row>
    <row r="11" spans="1:20" x14ac:dyDescent="0.35">
      <c r="A11" s="51">
        <v>3</v>
      </c>
      <c r="B11" s="247" t="s">
        <v>87</v>
      </c>
      <c r="C11" s="247"/>
      <c r="D11" s="247"/>
      <c r="E11" s="247"/>
      <c r="F11" s="247"/>
      <c r="G11" s="247"/>
      <c r="H11" s="222"/>
      <c r="I11" s="222"/>
      <c r="J11" s="222"/>
      <c r="K11" s="222"/>
      <c r="L11" s="222"/>
      <c r="M11" s="222"/>
      <c r="N11" s="222"/>
      <c r="O11" s="222"/>
      <c r="P11" s="222"/>
      <c r="Q11" s="222"/>
      <c r="R11" s="222"/>
      <c r="S11" s="222"/>
      <c r="T11" s="222"/>
    </row>
    <row r="12" spans="1:20" x14ac:dyDescent="0.35">
      <c r="A12" s="51">
        <v>4</v>
      </c>
      <c r="B12" s="262" t="s">
        <v>88</v>
      </c>
      <c r="C12" s="263"/>
      <c r="D12" s="263"/>
      <c r="E12" s="263"/>
      <c r="F12" s="263"/>
      <c r="G12" s="264"/>
      <c r="H12" s="222"/>
      <c r="I12" s="222"/>
      <c r="J12" s="222"/>
      <c r="K12" s="222"/>
      <c r="L12" s="222"/>
      <c r="M12" s="222"/>
      <c r="N12" s="222"/>
      <c r="O12" s="222"/>
      <c r="P12" s="222"/>
      <c r="Q12" s="222"/>
      <c r="R12" s="222"/>
      <c r="S12" s="222"/>
      <c r="T12" s="222"/>
    </row>
    <row r="13" spans="1:20" x14ac:dyDescent="0.35">
      <c r="A13" s="52">
        <v>5</v>
      </c>
      <c r="B13" s="246" t="s">
        <v>89</v>
      </c>
      <c r="C13" s="246"/>
      <c r="D13" s="246"/>
      <c r="E13" s="246"/>
      <c r="F13" s="246"/>
      <c r="G13" s="246"/>
      <c r="H13" s="246"/>
      <c r="I13" s="246"/>
      <c r="J13" s="246"/>
      <c r="K13" s="246"/>
      <c r="L13" s="246"/>
      <c r="M13" s="246"/>
      <c r="N13" s="246"/>
      <c r="O13" s="246"/>
      <c r="P13" s="246"/>
      <c r="Q13" s="246"/>
      <c r="R13" s="246"/>
      <c r="S13" s="246"/>
      <c r="T13" s="246"/>
    </row>
    <row r="14" spans="1:20" x14ac:dyDescent="0.35">
      <c r="A14" s="221" t="s">
        <v>90</v>
      </c>
      <c r="B14" s="221"/>
      <c r="C14" s="221"/>
      <c r="D14" s="221"/>
      <c r="E14" s="221"/>
      <c r="F14" s="221"/>
      <c r="G14" s="221"/>
      <c r="H14" s="222"/>
      <c r="I14" s="222"/>
      <c r="J14" s="222"/>
      <c r="K14" s="222"/>
      <c r="L14" s="222"/>
      <c r="M14" s="222"/>
      <c r="N14" s="222"/>
      <c r="O14" s="222"/>
      <c r="P14" s="222"/>
      <c r="Q14" s="222"/>
      <c r="R14" s="222"/>
      <c r="S14" s="222"/>
      <c r="T14" s="222"/>
    </row>
    <row r="15" spans="1:20" x14ac:dyDescent="0.35">
      <c r="A15" s="221" t="s">
        <v>91</v>
      </c>
      <c r="B15" s="221"/>
      <c r="C15" s="221"/>
      <c r="D15" s="221"/>
      <c r="E15" s="221"/>
      <c r="F15" s="221"/>
      <c r="G15" s="221"/>
      <c r="H15" s="222"/>
      <c r="I15" s="222"/>
      <c r="J15" s="222"/>
      <c r="K15" s="222"/>
      <c r="L15" s="222"/>
      <c r="M15" s="222"/>
      <c r="N15" s="222"/>
      <c r="O15" s="222"/>
      <c r="P15" s="222"/>
      <c r="Q15" s="222"/>
      <c r="R15" s="222"/>
      <c r="S15" s="222"/>
      <c r="T15" s="222"/>
    </row>
    <row r="16" spans="1:20" x14ac:dyDescent="0.35">
      <c r="A16" s="221" t="s">
        <v>92</v>
      </c>
      <c r="B16" s="221"/>
      <c r="C16" s="221"/>
      <c r="D16" s="221"/>
      <c r="E16" s="221"/>
      <c r="F16" s="221"/>
      <c r="G16" s="221"/>
      <c r="H16" s="222"/>
      <c r="I16" s="222"/>
      <c r="J16" s="222"/>
      <c r="K16" s="222"/>
      <c r="L16" s="222"/>
      <c r="M16" s="222"/>
      <c r="N16" s="222"/>
      <c r="O16" s="222"/>
      <c r="P16" s="222"/>
      <c r="Q16" s="222"/>
      <c r="R16" s="222"/>
      <c r="S16" s="222"/>
      <c r="T16" s="222"/>
    </row>
    <row r="17" spans="1:20" x14ac:dyDescent="0.35">
      <c r="A17" s="221" t="s">
        <v>93</v>
      </c>
      <c r="B17" s="221"/>
      <c r="C17" s="221"/>
      <c r="D17" s="221"/>
      <c r="E17" s="221"/>
      <c r="F17" s="221"/>
      <c r="G17" s="221"/>
      <c r="H17" s="222"/>
      <c r="I17" s="222"/>
      <c r="J17" s="222"/>
      <c r="K17" s="222"/>
      <c r="L17" s="222"/>
      <c r="M17" s="222"/>
      <c r="N17" s="222"/>
      <c r="O17" s="222"/>
      <c r="P17" s="222"/>
      <c r="Q17" s="222"/>
      <c r="R17" s="222"/>
      <c r="S17" s="222"/>
      <c r="T17" s="222"/>
    </row>
    <row r="18" spans="1:20" x14ac:dyDescent="0.35">
      <c r="A18" s="239" t="s">
        <v>94</v>
      </c>
      <c r="B18" s="240"/>
      <c r="C18" s="239"/>
      <c r="D18" s="240"/>
      <c r="E18" s="53" t="s">
        <v>95</v>
      </c>
      <c r="F18" s="54"/>
      <c r="G18" s="55"/>
      <c r="H18" s="241" t="s">
        <v>96</v>
      </c>
      <c r="I18" s="242"/>
      <c r="J18" s="242"/>
      <c r="K18" s="56"/>
      <c r="L18" s="57"/>
      <c r="M18" s="228"/>
      <c r="N18" s="228"/>
      <c r="O18" s="228"/>
      <c r="P18" s="228"/>
      <c r="Q18" s="228"/>
      <c r="R18" s="228"/>
      <c r="S18" s="228"/>
      <c r="T18" s="228"/>
    </row>
    <row r="19" spans="1:20" x14ac:dyDescent="0.35">
      <c r="A19" s="58">
        <v>6</v>
      </c>
      <c r="B19" s="243" t="s">
        <v>97</v>
      </c>
      <c r="C19" s="244"/>
      <c r="D19" s="244"/>
      <c r="E19" s="244"/>
      <c r="F19" s="244"/>
      <c r="G19" s="244"/>
      <c r="H19" s="244"/>
      <c r="I19" s="244"/>
      <c r="J19" s="244"/>
      <c r="K19" s="244"/>
      <c r="L19" s="244"/>
      <c r="M19" s="244"/>
      <c r="N19" s="244"/>
      <c r="O19" s="244"/>
      <c r="P19" s="244"/>
      <c r="Q19" s="244"/>
      <c r="R19" s="244"/>
      <c r="S19" s="244"/>
      <c r="T19" s="244"/>
    </row>
    <row r="20" spans="1:20" ht="43.5" x14ac:dyDescent="0.35">
      <c r="A20" s="59" t="s">
        <v>98</v>
      </c>
      <c r="B20" s="60" t="s">
        <v>99</v>
      </c>
      <c r="C20" s="236" t="s">
        <v>100</v>
      </c>
      <c r="D20" s="237"/>
      <c r="E20" s="238"/>
      <c r="F20" s="236" t="s">
        <v>101</v>
      </c>
      <c r="G20" s="238"/>
      <c r="H20" s="233" t="s">
        <v>102</v>
      </c>
      <c r="I20" s="235"/>
      <c r="J20" s="233" t="s">
        <v>103</v>
      </c>
      <c r="K20" s="235"/>
      <c r="L20" s="233" t="s">
        <v>104</v>
      </c>
      <c r="M20" s="235"/>
      <c r="N20" s="233" t="s">
        <v>105</v>
      </c>
      <c r="O20" s="234"/>
      <c r="P20" s="234"/>
      <c r="Q20" s="234"/>
      <c r="R20" s="234"/>
      <c r="S20" s="234"/>
      <c r="T20" s="235"/>
    </row>
    <row r="21" spans="1:20" x14ac:dyDescent="0.35">
      <c r="A21" s="48"/>
      <c r="B21" s="48"/>
      <c r="C21" s="230"/>
      <c r="D21" s="231"/>
      <c r="E21" s="232"/>
      <c r="F21" s="230"/>
      <c r="G21" s="232"/>
      <c r="H21" s="227"/>
      <c r="I21" s="229"/>
      <c r="J21" s="227"/>
      <c r="K21" s="229"/>
      <c r="L21" s="227"/>
      <c r="M21" s="229"/>
      <c r="N21" s="227"/>
      <c r="O21" s="228"/>
      <c r="P21" s="228"/>
      <c r="Q21" s="228"/>
      <c r="R21" s="228"/>
      <c r="S21" s="228"/>
      <c r="T21" s="229"/>
    </row>
    <row r="22" spans="1:20" x14ac:dyDescent="0.35">
      <c r="A22" s="48"/>
      <c r="B22" s="48"/>
      <c r="C22" s="230"/>
      <c r="D22" s="231"/>
      <c r="E22" s="232"/>
      <c r="F22" s="230"/>
      <c r="G22" s="232"/>
      <c r="H22" s="227"/>
      <c r="I22" s="229"/>
      <c r="J22" s="227"/>
      <c r="K22" s="229"/>
      <c r="L22" s="227"/>
      <c r="M22" s="229"/>
      <c r="N22" s="227"/>
      <c r="O22" s="228"/>
      <c r="P22" s="228"/>
      <c r="Q22" s="228"/>
      <c r="R22" s="228"/>
      <c r="S22" s="228"/>
      <c r="T22" s="229"/>
    </row>
    <row r="23" spans="1:20" x14ac:dyDescent="0.35">
      <c r="A23" s="48"/>
      <c r="B23" s="48"/>
      <c r="C23" s="230"/>
      <c r="D23" s="231"/>
      <c r="E23" s="232"/>
      <c r="F23" s="230"/>
      <c r="G23" s="232"/>
      <c r="H23" s="227"/>
      <c r="I23" s="229"/>
      <c r="J23" s="227"/>
      <c r="K23" s="229"/>
      <c r="L23" s="227"/>
      <c r="M23" s="229"/>
      <c r="N23" s="227"/>
      <c r="O23" s="228"/>
      <c r="P23" s="228"/>
      <c r="Q23" s="228"/>
      <c r="R23" s="228"/>
      <c r="S23" s="228"/>
      <c r="T23" s="229"/>
    </row>
    <row r="24" spans="1:20" x14ac:dyDescent="0.35">
      <c r="A24" s="221" t="s">
        <v>106</v>
      </c>
      <c r="B24" s="221"/>
      <c r="C24" s="221"/>
      <c r="D24" s="221"/>
      <c r="E24" s="221"/>
      <c r="F24" s="221"/>
      <c r="G24" s="221"/>
      <c r="H24" s="222"/>
      <c r="I24" s="222"/>
      <c r="J24" s="222"/>
      <c r="K24" s="222"/>
      <c r="L24" s="222"/>
      <c r="M24" s="222"/>
      <c r="N24" s="222"/>
      <c r="O24" s="222"/>
      <c r="P24" s="222"/>
      <c r="Q24" s="222"/>
      <c r="R24" s="222"/>
      <c r="S24" s="222"/>
      <c r="T24" s="222"/>
    </row>
    <row r="25" spans="1:20" x14ac:dyDescent="0.35">
      <c r="A25" s="61" t="s">
        <v>107</v>
      </c>
      <c r="B25" s="224"/>
      <c r="C25" s="225"/>
      <c r="D25" s="225"/>
      <c r="E25" s="226"/>
      <c r="F25" s="47"/>
      <c r="G25" s="47"/>
      <c r="H25" s="227"/>
      <c r="I25" s="228"/>
      <c r="J25" s="228"/>
      <c r="K25" s="228"/>
      <c r="L25" s="228"/>
      <c r="M25" s="228"/>
      <c r="N25" s="228"/>
      <c r="O25" s="228"/>
      <c r="P25" s="228"/>
      <c r="Q25" s="228"/>
      <c r="R25" s="229"/>
      <c r="S25" s="62"/>
      <c r="T25" s="62"/>
    </row>
    <row r="26" spans="1:20" x14ac:dyDescent="0.35">
      <c r="A26" s="221" t="s">
        <v>108</v>
      </c>
      <c r="B26" s="221"/>
      <c r="C26" s="221"/>
      <c r="D26" s="221"/>
      <c r="E26" s="221"/>
      <c r="F26" s="221"/>
      <c r="G26" s="221"/>
      <c r="H26" s="222" t="s">
        <v>109</v>
      </c>
      <c r="I26" s="222"/>
      <c r="J26" s="223" t="s">
        <v>110</v>
      </c>
      <c r="K26" s="223"/>
      <c r="L26" s="223"/>
      <c r="M26" s="223"/>
      <c r="N26" s="223"/>
      <c r="O26" s="223"/>
      <c r="P26" s="223"/>
      <c r="Q26" s="223"/>
      <c r="R26" s="223"/>
      <c r="S26" s="223"/>
      <c r="T26" s="223"/>
    </row>
    <row r="27" spans="1:20" x14ac:dyDescent="0.35">
      <c r="A27" s="221" t="s">
        <v>111</v>
      </c>
      <c r="B27" s="221"/>
      <c r="C27" s="221"/>
      <c r="D27" s="221"/>
      <c r="E27" s="221"/>
      <c r="F27" s="221"/>
      <c r="G27" s="221"/>
      <c r="H27" s="222" t="s">
        <v>109</v>
      </c>
      <c r="I27" s="222"/>
      <c r="J27" s="223" t="s">
        <v>110</v>
      </c>
      <c r="K27" s="223"/>
      <c r="L27" s="223"/>
      <c r="M27" s="223"/>
      <c r="N27" s="223"/>
      <c r="O27" s="223"/>
      <c r="P27" s="223"/>
      <c r="Q27" s="223"/>
      <c r="R27" s="223"/>
      <c r="S27" s="223"/>
      <c r="T27" s="223"/>
    </row>
    <row r="28" spans="1:20" x14ac:dyDescent="0.35">
      <c r="A28" s="221" t="s">
        <v>112</v>
      </c>
      <c r="B28" s="221"/>
      <c r="C28" s="221"/>
      <c r="D28" s="221"/>
      <c r="E28" s="221"/>
      <c r="F28" s="221"/>
      <c r="G28" s="221"/>
      <c r="H28" s="222" t="s">
        <v>109</v>
      </c>
      <c r="I28" s="222"/>
      <c r="J28" s="223" t="s">
        <v>110</v>
      </c>
      <c r="K28" s="223"/>
      <c r="L28" s="223"/>
      <c r="M28" s="223"/>
      <c r="N28" s="223"/>
      <c r="O28" s="223"/>
      <c r="P28" s="223"/>
      <c r="Q28" s="223"/>
      <c r="R28" s="223"/>
      <c r="S28" s="223"/>
      <c r="T28" s="223"/>
    </row>
  </sheetData>
  <mergeCells count="71">
    <mergeCell ref="B6:C6"/>
    <mergeCell ref="E6:G6"/>
    <mergeCell ref="H6:I6"/>
    <mergeCell ref="J6:T6"/>
    <mergeCell ref="A1:C1"/>
    <mergeCell ref="A3:T3"/>
    <mergeCell ref="A4:T4"/>
    <mergeCell ref="A5:G5"/>
    <mergeCell ref="H5:T5"/>
    <mergeCell ref="A14:G14"/>
    <mergeCell ref="H14:T14"/>
    <mergeCell ref="B7:G7"/>
    <mergeCell ref="H7:T7"/>
    <mergeCell ref="B8:G8"/>
    <mergeCell ref="H8:T8"/>
    <mergeCell ref="A9:A10"/>
    <mergeCell ref="B9:G10"/>
    <mergeCell ref="H9:T10"/>
    <mergeCell ref="B11:G11"/>
    <mergeCell ref="H11:T11"/>
    <mergeCell ref="B12:G12"/>
    <mergeCell ref="H12:T12"/>
    <mergeCell ref="B13:T13"/>
    <mergeCell ref="A15:G15"/>
    <mergeCell ref="H15:T15"/>
    <mergeCell ref="A16:G16"/>
    <mergeCell ref="H16:T16"/>
    <mergeCell ref="A17:G17"/>
    <mergeCell ref="H17:T17"/>
    <mergeCell ref="A18:B18"/>
    <mergeCell ref="C18:D18"/>
    <mergeCell ref="H18:J18"/>
    <mergeCell ref="M18:T18"/>
    <mergeCell ref="B19:T19"/>
    <mergeCell ref="N20:T20"/>
    <mergeCell ref="C21:E21"/>
    <mergeCell ref="F21:G21"/>
    <mergeCell ref="H21:I21"/>
    <mergeCell ref="J21:K21"/>
    <mergeCell ref="L21:M21"/>
    <mergeCell ref="N21:T21"/>
    <mergeCell ref="C20:E20"/>
    <mergeCell ref="F20:G20"/>
    <mergeCell ref="H20:I20"/>
    <mergeCell ref="J20:K20"/>
    <mergeCell ref="L20:M20"/>
    <mergeCell ref="N23:T23"/>
    <mergeCell ref="C22:E22"/>
    <mergeCell ref="F22:G22"/>
    <mergeCell ref="H22:I22"/>
    <mergeCell ref="J22:K22"/>
    <mergeCell ref="L22:M22"/>
    <mergeCell ref="N22:T22"/>
    <mergeCell ref="C23:E23"/>
    <mergeCell ref="F23:G23"/>
    <mergeCell ref="H23:I23"/>
    <mergeCell ref="J23:K23"/>
    <mergeCell ref="L23:M23"/>
    <mergeCell ref="A24:G24"/>
    <mergeCell ref="H24:T24"/>
    <mergeCell ref="B25:E25"/>
    <mergeCell ref="H25:R25"/>
    <mergeCell ref="A26:G26"/>
    <mergeCell ref="H26:I26"/>
    <mergeCell ref="J26:T26"/>
    <mergeCell ref="A27:G27"/>
    <mergeCell ref="H27:I27"/>
    <mergeCell ref="J27:T27"/>
    <mergeCell ref="A28:G28"/>
    <mergeCell ref="H28:I28"/>
    <mergeCell ref="J28:T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A06B-6200-4B5C-A2A3-8433272D0FFD}">
  <dimension ref="A1:AF83"/>
  <sheetViews>
    <sheetView tabSelected="1" workbookViewId="0"/>
  </sheetViews>
  <sheetFormatPr defaultRowHeight="14.5" x14ac:dyDescent="0.35"/>
  <cols>
    <col min="1" max="1" width="8.7265625" style="62" customWidth="1"/>
    <col min="2" max="2" width="12.81640625" style="62" customWidth="1"/>
    <col min="3" max="3" width="25.1796875" style="62" customWidth="1"/>
    <col min="4" max="4" width="36.1796875" style="62" customWidth="1"/>
    <col min="5" max="5" width="11.08984375" style="62" hidden="1" customWidth="1"/>
    <col min="6" max="6" width="35.36328125" style="62" hidden="1" customWidth="1"/>
    <col min="7" max="8" width="0" hidden="1" customWidth="1"/>
    <col min="9" max="9" width="12.7265625" hidden="1" customWidth="1"/>
    <col min="10" max="12" width="0" hidden="1" customWidth="1"/>
    <col min="13" max="13" width="10.81640625" customWidth="1"/>
    <col min="14" max="14" width="35.1796875" hidden="1" customWidth="1"/>
    <col min="16" max="16" width="10.1796875" customWidth="1"/>
    <col min="17" max="17" width="0" hidden="1" customWidth="1"/>
    <col min="18" max="18" width="10.36328125" customWidth="1"/>
    <col min="19" max="19" width="57.453125" customWidth="1"/>
    <col min="20" max="20" width="74.26953125" style="63" customWidth="1"/>
    <col min="22" max="22" width="13.26953125" style="62" hidden="1" customWidth="1"/>
    <col min="23" max="23" width="8.7265625" style="190"/>
    <col min="24" max="24" width="12.54296875" customWidth="1"/>
    <col min="25" max="25" width="35.7265625" style="215" customWidth="1"/>
  </cols>
  <sheetData>
    <row r="1" spans="1:32" s="49" customFormat="1" x14ac:dyDescent="0.35">
      <c r="A1" s="195" t="s">
        <v>274</v>
      </c>
      <c r="B1" s="195"/>
      <c r="C1" s="195"/>
      <c r="D1" s="195"/>
      <c r="E1" s="195"/>
      <c r="F1" s="195"/>
      <c r="T1" s="211"/>
      <c r="W1" s="203"/>
      <c r="Y1" s="214"/>
    </row>
    <row r="2" spans="1:32" ht="15.5" x14ac:dyDescent="0.35">
      <c r="A2" s="170"/>
      <c r="B2" s="142" t="s">
        <v>230</v>
      </c>
      <c r="C2" s="176"/>
      <c r="D2" s="142"/>
      <c r="E2" s="142"/>
      <c r="F2" s="174"/>
      <c r="G2" s="70"/>
      <c r="H2" s="70"/>
      <c r="I2" s="70"/>
      <c r="J2" s="46"/>
      <c r="K2" s="46"/>
      <c r="L2" s="46"/>
      <c r="M2" s="46"/>
      <c r="N2" s="46"/>
      <c r="O2" s="71"/>
      <c r="P2" s="71"/>
      <c r="Q2" s="46"/>
      <c r="R2" s="46"/>
      <c r="S2" s="46"/>
      <c r="T2" s="212"/>
      <c r="U2" s="71"/>
      <c r="V2"/>
    </row>
    <row r="3" spans="1:32" ht="89" x14ac:dyDescent="0.35">
      <c r="A3" s="72" t="s">
        <v>73</v>
      </c>
      <c r="B3" s="72" t="s">
        <v>0</v>
      </c>
      <c r="C3" s="72" t="s">
        <v>222</v>
      </c>
      <c r="D3" s="72" t="s">
        <v>113</v>
      </c>
      <c r="E3" s="72" t="s">
        <v>212</v>
      </c>
      <c r="F3" s="73" t="s">
        <v>140</v>
      </c>
      <c r="G3" s="267" t="s">
        <v>141</v>
      </c>
      <c r="H3" s="267"/>
      <c r="I3" s="267" t="s">
        <v>142</v>
      </c>
      <c r="J3" s="267"/>
      <c r="K3" s="267" t="s">
        <v>143</v>
      </c>
      <c r="L3" s="267"/>
      <c r="M3" s="72" t="s">
        <v>213</v>
      </c>
      <c r="N3" s="74" t="s">
        <v>147</v>
      </c>
      <c r="O3" s="81" t="s">
        <v>164</v>
      </c>
      <c r="P3" s="164" t="s">
        <v>144</v>
      </c>
      <c r="Q3" s="72" t="s">
        <v>145</v>
      </c>
      <c r="R3" s="72" t="s">
        <v>146</v>
      </c>
      <c r="S3" s="172" t="s">
        <v>2</v>
      </c>
      <c r="T3" s="172" t="s">
        <v>243</v>
      </c>
      <c r="U3" s="81" t="s">
        <v>164</v>
      </c>
      <c r="V3" s="75" t="s">
        <v>1</v>
      </c>
      <c r="W3" s="188" t="s">
        <v>144</v>
      </c>
      <c r="X3" s="189" t="s">
        <v>282</v>
      </c>
      <c r="Y3" s="216" t="s">
        <v>244</v>
      </c>
    </row>
    <row r="4" spans="1:32" ht="240" customHeight="1" x14ac:dyDescent="0.35">
      <c r="A4" s="143" t="s">
        <v>156</v>
      </c>
      <c r="B4" s="143" t="s">
        <v>154</v>
      </c>
      <c r="C4" s="144" t="s">
        <v>169</v>
      </c>
      <c r="D4" s="145" t="s">
        <v>175</v>
      </c>
      <c r="E4" s="146" t="s">
        <v>116</v>
      </c>
      <c r="F4" s="147" t="s">
        <v>237</v>
      </c>
      <c r="G4" s="177" t="s">
        <v>22</v>
      </c>
      <c r="H4" s="148">
        <v>5</v>
      </c>
      <c r="I4" s="149" t="s">
        <v>35</v>
      </c>
      <c r="J4" s="148">
        <v>5</v>
      </c>
      <c r="K4" s="150" t="s">
        <v>72</v>
      </c>
      <c r="L4" s="148">
        <f t="shared" ref="L4:L9" si="0">H4*J4</f>
        <v>25</v>
      </c>
      <c r="M4" s="148">
        <v>8</v>
      </c>
      <c r="N4" s="147" t="s">
        <v>223</v>
      </c>
      <c r="O4" s="151">
        <v>0.8</v>
      </c>
      <c r="P4" s="150">
        <v>20</v>
      </c>
      <c r="Q4" s="152" t="s">
        <v>168</v>
      </c>
      <c r="R4" s="152" t="s">
        <v>155</v>
      </c>
      <c r="S4" s="173" t="s">
        <v>245</v>
      </c>
      <c r="T4" s="173" t="s">
        <v>290</v>
      </c>
      <c r="U4" s="151">
        <v>0.8</v>
      </c>
      <c r="V4" s="153">
        <v>46112</v>
      </c>
      <c r="W4" s="191">
        <v>20</v>
      </c>
      <c r="X4" s="194">
        <v>20</v>
      </c>
      <c r="Y4" s="217" t="s">
        <v>291</v>
      </c>
    </row>
    <row r="5" spans="1:32" ht="209.5" customHeight="1" x14ac:dyDescent="0.35">
      <c r="A5" s="155" t="s">
        <v>162</v>
      </c>
      <c r="B5" s="155" t="s">
        <v>161</v>
      </c>
      <c r="C5" s="144" t="s">
        <v>176</v>
      </c>
      <c r="D5" s="146" t="s">
        <v>214</v>
      </c>
      <c r="E5" s="146" t="s">
        <v>117</v>
      </c>
      <c r="F5" s="156" t="s">
        <v>238</v>
      </c>
      <c r="G5" s="178" t="s">
        <v>23</v>
      </c>
      <c r="H5" s="157">
        <v>5</v>
      </c>
      <c r="I5" s="158" t="s">
        <v>35</v>
      </c>
      <c r="J5" s="157">
        <v>4</v>
      </c>
      <c r="K5" s="159" t="s">
        <v>71</v>
      </c>
      <c r="L5" s="157">
        <f t="shared" si="0"/>
        <v>20</v>
      </c>
      <c r="M5" s="157">
        <v>6</v>
      </c>
      <c r="N5" s="147" t="s">
        <v>235</v>
      </c>
      <c r="O5" s="151">
        <v>0.8</v>
      </c>
      <c r="P5" s="159">
        <v>16</v>
      </c>
      <c r="Q5" s="158" t="s">
        <v>163</v>
      </c>
      <c r="R5" s="158" t="s">
        <v>153</v>
      </c>
      <c r="S5" s="173" t="s">
        <v>236</v>
      </c>
      <c r="T5" s="173" t="s">
        <v>289</v>
      </c>
      <c r="U5" s="151">
        <v>0.8</v>
      </c>
      <c r="V5" s="153">
        <v>46112</v>
      </c>
      <c r="W5" s="191">
        <v>16</v>
      </c>
      <c r="X5" s="194">
        <v>16</v>
      </c>
      <c r="Y5" s="218" t="s">
        <v>246</v>
      </c>
    </row>
    <row r="6" spans="1:32" ht="160" customHeight="1" x14ac:dyDescent="0.35">
      <c r="A6" s="155" t="s">
        <v>170</v>
      </c>
      <c r="B6" s="155" t="s">
        <v>171</v>
      </c>
      <c r="C6" s="144" t="s">
        <v>174</v>
      </c>
      <c r="D6" s="146" t="s">
        <v>172</v>
      </c>
      <c r="E6" s="146" t="s">
        <v>117</v>
      </c>
      <c r="F6" s="156" t="s">
        <v>173</v>
      </c>
      <c r="G6" s="177" t="s">
        <v>22</v>
      </c>
      <c r="H6" s="148">
        <v>5</v>
      </c>
      <c r="I6" s="152" t="s">
        <v>38</v>
      </c>
      <c r="J6" s="148">
        <v>4</v>
      </c>
      <c r="K6" s="160" t="s">
        <v>71</v>
      </c>
      <c r="L6" s="148">
        <f t="shared" si="0"/>
        <v>20</v>
      </c>
      <c r="M6" s="148">
        <v>10</v>
      </c>
      <c r="N6" s="147" t="s">
        <v>226</v>
      </c>
      <c r="O6" s="151">
        <v>0.8</v>
      </c>
      <c r="P6" s="150">
        <v>16</v>
      </c>
      <c r="Q6" s="161" t="s">
        <v>160</v>
      </c>
      <c r="R6" s="152" t="s">
        <v>153</v>
      </c>
      <c r="S6" s="173" t="s">
        <v>247</v>
      </c>
      <c r="T6" s="173" t="s">
        <v>285</v>
      </c>
      <c r="U6" s="151">
        <v>0.8</v>
      </c>
      <c r="V6" s="153">
        <v>46112</v>
      </c>
      <c r="W6" s="191">
        <v>16</v>
      </c>
      <c r="X6" s="194">
        <v>16</v>
      </c>
      <c r="Y6" s="218" t="s">
        <v>248</v>
      </c>
    </row>
    <row r="7" spans="1:32" ht="145.5" customHeight="1" x14ac:dyDescent="0.35">
      <c r="A7" s="155" t="s">
        <v>158</v>
      </c>
      <c r="B7" s="144" t="s">
        <v>159</v>
      </c>
      <c r="C7" s="144" t="s">
        <v>177</v>
      </c>
      <c r="D7" s="146" t="s">
        <v>215</v>
      </c>
      <c r="E7" s="146" t="s">
        <v>116</v>
      </c>
      <c r="F7" s="156" t="s">
        <v>225</v>
      </c>
      <c r="G7" s="177" t="s">
        <v>23</v>
      </c>
      <c r="H7" s="148">
        <v>4</v>
      </c>
      <c r="I7" s="149" t="s">
        <v>38</v>
      </c>
      <c r="J7" s="148">
        <v>4</v>
      </c>
      <c r="K7" s="160" t="s">
        <v>71</v>
      </c>
      <c r="L7" s="148">
        <f t="shared" si="0"/>
        <v>16</v>
      </c>
      <c r="M7" s="148">
        <v>4</v>
      </c>
      <c r="N7" s="147" t="s">
        <v>224</v>
      </c>
      <c r="O7" s="151">
        <v>0.8</v>
      </c>
      <c r="P7" s="160">
        <v>12.8</v>
      </c>
      <c r="Q7" s="158" t="s">
        <v>165</v>
      </c>
      <c r="R7" s="158" t="s">
        <v>153</v>
      </c>
      <c r="S7" s="173" t="s">
        <v>252</v>
      </c>
      <c r="T7" s="173" t="s">
        <v>250</v>
      </c>
      <c r="U7" s="151">
        <v>0.8</v>
      </c>
      <c r="V7" s="153">
        <v>46112</v>
      </c>
      <c r="W7" s="192">
        <v>12.8</v>
      </c>
      <c r="X7" s="193">
        <v>12.8</v>
      </c>
      <c r="Y7" s="218" t="s">
        <v>249</v>
      </c>
    </row>
    <row r="8" spans="1:32" s="154" customFormat="1" ht="172.5" customHeight="1" x14ac:dyDescent="0.35">
      <c r="A8" s="181">
        <v>3.3</v>
      </c>
      <c r="B8" s="182">
        <v>3</v>
      </c>
      <c r="C8" s="183" t="s">
        <v>228</v>
      </c>
      <c r="D8" s="184" t="s">
        <v>241</v>
      </c>
      <c r="E8" s="185" t="s">
        <v>227</v>
      </c>
      <c r="F8" s="186" t="s">
        <v>239</v>
      </c>
      <c r="G8" s="179" t="s">
        <v>23</v>
      </c>
      <c r="H8" s="165">
        <v>4</v>
      </c>
      <c r="I8" s="166" t="s">
        <v>38</v>
      </c>
      <c r="J8" s="165">
        <v>4</v>
      </c>
      <c r="K8" s="167" t="s">
        <v>71</v>
      </c>
      <c r="L8" s="165">
        <f t="shared" si="0"/>
        <v>16</v>
      </c>
      <c r="M8" s="165">
        <v>8</v>
      </c>
      <c r="N8" s="163" t="s">
        <v>240</v>
      </c>
      <c r="O8" s="168">
        <v>0.8</v>
      </c>
      <c r="P8" s="167">
        <v>12.8</v>
      </c>
      <c r="Q8" s="166" t="s">
        <v>163</v>
      </c>
      <c r="R8" s="166" t="s">
        <v>153</v>
      </c>
      <c r="S8" s="163" t="s">
        <v>292</v>
      </c>
      <c r="T8" s="163" t="s">
        <v>293</v>
      </c>
      <c r="U8" s="151">
        <v>0.8</v>
      </c>
      <c r="V8" s="153">
        <v>46112</v>
      </c>
      <c r="W8" s="192">
        <v>12.8</v>
      </c>
      <c r="X8" s="192">
        <v>12.8</v>
      </c>
      <c r="Y8" s="218" t="s">
        <v>254</v>
      </c>
    </row>
    <row r="9" spans="1:32" s="62" customFormat="1" ht="104" customHeight="1" x14ac:dyDescent="0.35">
      <c r="A9" s="143" t="s">
        <v>231</v>
      </c>
      <c r="B9" s="162" t="s">
        <v>232</v>
      </c>
      <c r="C9" s="144" t="s">
        <v>229</v>
      </c>
      <c r="D9" s="169" t="s">
        <v>242</v>
      </c>
      <c r="E9" s="145" t="s">
        <v>117</v>
      </c>
      <c r="F9" s="147" t="s">
        <v>233</v>
      </c>
      <c r="G9" s="180" t="s">
        <v>23</v>
      </c>
      <c r="H9" s="148">
        <v>4</v>
      </c>
      <c r="I9" s="149" t="s">
        <v>38</v>
      </c>
      <c r="J9" s="148">
        <v>4</v>
      </c>
      <c r="K9" s="160" t="s">
        <v>71</v>
      </c>
      <c r="L9" s="148">
        <f t="shared" si="0"/>
        <v>16</v>
      </c>
      <c r="M9" s="148">
        <v>0</v>
      </c>
      <c r="N9" s="147" t="s">
        <v>234</v>
      </c>
      <c r="O9" s="151">
        <v>0.8</v>
      </c>
      <c r="P9" s="160">
        <v>12.8</v>
      </c>
      <c r="Q9" s="152" t="s">
        <v>157</v>
      </c>
      <c r="R9" s="152" t="s">
        <v>153</v>
      </c>
      <c r="S9" s="147" t="s">
        <v>255</v>
      </c>
      <c r="T9" s="147" t="s">
        <v>286</v>
      </c>
      <c r="U9" s="151">
        <v>0.8</v>
      </c>
      <c r="V9" s="153">
        <v>46112</v>
      </c>
      <c r="W9" s="192">
        <v>12.8</v>
      </c>
      <c r="X9" s="193">
        <v>12.8</v>
      </c>
      <c r="Y9" s="218" t="s">
        <v>288</v>
      </c>
      <c r="Z9"/>
      <c r="AA9"/>
      <c r="AB9"/>
      <c r="AC9"/>
      <c r="AD9"/>
      <c r="AE9"/>
      <c r="AF9" s="141"/>
    </row>
    <row r="10" spans="1:32" x14ac:dyDescent="0.35">
      <c r="A10"/>
      <c r="B10"/>
      <c r="C10"/>
      <c r="D10"/>
      <c r="E10"/>
      <c r="F10"/>
      <c r="S10" s="171"/>
      <c r="T10" s="213"/>
      <c r="V10"/>
    </row>
    <row r="11" spans="1:32" x14ac:dyDescent="0.35">
      <c r="A11"/>
      <c r="B11"/>
      <c r="C11"/>
      <c r="D11"/>
      <c r="E11"/>
      <c r="F11"/>
      <c r="V11"/>
    </row>
    <row r="12" spans="1:32" x14ac:dyDescent="0.35">
      <c r="A12"/>
      <c r="B12"/>
      <c r="C12"/>
      <c r="D12"/>
      <c r="E12"/>
      <c r="F12"/>
      <c r="V12"/>
    </row>
    <row r="13" spans="1:32" x14ac:dyDescent="0.35">
      <c r="A13"/>
      <c r="B13"/>
      <c r="C13"/>
      <c r="D13"/>
      <c r="E13"/>
      <c r="F13"/>
      <c r="V13"/>
    </row>
    <row r="14" spans="1:32" x14ac:dyDescent="0.35">
      <c r="A14"/>
      <c r="B14"/>
      <c r="C14"/>
      <c r="D14"/>
      <c r="E14"/>
      <c r="F14"/>
      <c r="V14"/>
    </row>
    <row r="15" spans="1:32" x14ac:dyDescent="0.35">
      <c r="A15"/>
      <c r="B15"/>
      <c r="C15"/>
      <c r="D15"/>
      <c r="E15"/>
      <c r="F15"/>
      <c r="V15"/>
    </row>
    <row r="16" spans="1:32" x14ac:dyDescent="0.35">
      <c r="A16"/>
      <c r="B16"/>
      <c r="C16"/>
      <c r="D16"/>
      <c r="E16"/>
      <c r="F16"/>
      <c r="V16"/>
    </row>
    <row r="17" spans="20:25" customFormat="1" x14ac:dyDescent="0.35">
      <c r="T17" s="63"/>
      <c r="W17" s="190"/>
      <c r="Y17" s="215"/>
    </row>
    <row r="18" spans="20:25" customFormat="1" x14ac:dyDescent="0.35">
      <c r="T18" s="63"/>
      <c r="W18" s="190"/>
      <c r="Y18" s="215"/>
    </row>
    <row r="19" spans="20:25" customFormat="1" x14ac:dyDescent="0.35">
      <c r="T19" s="63"/>
      <c r="W19" s="190"/>
      <c r="Y19" s="215"/>
    </row>
    <row r="20" spans="20:25" customFormat="1" x14ac:dyDescent="0.35">
      <c r="T20" s="63"/>
      <c r="W20" s="190"/>
      <c r="Y20" s="215"/>
    </row>
    <row r="21" spans="20:25" customFormat="1" x14ac:dyDescent="0.35">
      <c r="T21" s="63"/>
      <c r="W21" s="190"/>
      <c r="Y21" s="215"/>
    </row>
    <row r="22" spans="20:25" customFormat="1" x14ac:dyDescent="0.35">
      <c r="T22" s="63"/>
      <c r="W22" s="190"/>
      <c r="Y22" s="215"/>
    </row>
    <row r="23" spans="20:25" customFormat="1" x14ac:dyDescent="0.35">
      <c r="T23" s="63"/>
      <c r="W23" s="190"/>
      <c r="Y23" s="215"/>
    </row>
    <row r="24" spans="20:25" customFormat="1" x14ac:dyDescent="0.35">
      <c r="T24" s="63"/>
      <c r="W24" s="190"/>
      <c r="Y24" s="215"/>
    </row>
    <row r="25" spans="20:25" customFormat="1" x14ac:dyDescent="0.35">
      <c r="T25" s="63"/>
      <c r="W25" s="190"/>
      <c r="Y25" s="215"/>
    </row>
    <row r="26" spans="20:25" customFormat="1" x14ac:dyDescent="0.35">
      <c r="T26" s="63"/>
      <c r="W26" s="190"/>
      <c r="Y26" s="215"/>
    </row>
    <row r="27" spans="20:25" customFormat="1" x14ac:dyDescent="0.35">
      <c r="T27" s="63"/>
      <c r="W27" s="190"/>
      <c r="Y27" s="215"/>
    </row>
    <row r="28" spans="20:25" customFormat="1" x14ac:dyDescent="0.35">
      <c r="T28" s="63"/>
      <c r="W28" s="190"/>
      <c r="Y28" s="215"/>
    </row>
    <row r="29" spans="20:25" customFormat="1" x14ac:dyDescent="0.35">
      <c r="T29" s="63"/>
      <c r="W29" s="190"/>
      <c r="Y29" s="215"/>
    </row>
    <row r="30" spans="20:25" customFormat="1" x14ac:dyDescent="0.35">
      <c r="T30" s="63"/>
      <c r="W30" s="190"/>
      <c r="Y30" s="215"/>
    </row>
    <row r="31" spans="20:25" customFormat="1" x14ac:dyDescent="0.35">
      <c r="T31" s="63"/>
      <c r="W31" s="190"/>
      <c r="Y31" s="215"/>
    </row>
    <row r="32" spans="20:25" customFormat="1" x14ac:dyDescent="0.35">
      <c r="T32" s="63"/>
      <c r="W32" s="190"/>
      <c r="Y32" s="215"/>
    </row>
    <row r="33" spans="1:22" x14ac:dyDescent="0.35">
      <c r="A33"/>
      <c r="B33"/>
      <c r="C33"/>
      <c r="D33"/>
      <c r="E33"/>
      <c r="F33"/>
      <c r="V33"/>
    </row>
    <row r="34" spans="1:22" x14ac:dyDescent="0.35">
      <c r="A34"/>
      <c r="B34"/>
      <c r="C34"/>
      <c r="D34"/>
      <c r="E34"/>
      <c r="F34"/>
      <c r="V34"/>
    </row>
    <row r="35" spans="1:22" x14ac:dyDescent="0.35">
      <c r="A35"/>
      <c r="B35"/>
      <c r="C35"/>
      <c r="D35"/>
      <c r="E35"/>
      <c r="F35"/>
      <c r="V35"/>
    </row>
    <row r="36" spans="1:22" x14ac:dyDescent="0.35">
      <c r="A36"/>
      <c r="B36"/>
      <c r="C36"/>
      <c r="D36"/>
      <c r="E36"/>
      <c r="F36"/>
      <c r="V36"/>
    </row>
    <row r="37" spans="1:22" x14ac:dyDescent="0.35">
      <c r="A37"/>
      <c r="B37"/>
      <c r="C37"/>
      <c r="D37"/>
      <c r="E37"/>
      <c r="F37"/>
      <c r="V37"/>
    </row>
    <row r="38" spans="1:22" x14ac:dyDescent="0.35">
      <c r="A38"/>
      <c r="B38"/>
      <c r="C38"/>
      <c r="D38"/>
      <c r="E38"/>
      <c r="F38"/>
      <c r="V38"/>
    </row>
    <row r="39" spans="1:22" x14ac:dyDescent="0.35">
      <c r="A39"/>
      <c r="B39"/>
      <c r="C39"/>
      <c r="D39"/>
      <c r="E39"/>
      <c r="F39"/>
      <c r="V39"/>
    </row>
    <row r="40" spans="1:22" x14ac:dyDescent="0.35">
      <c r="A40"/>
      <c r="B40"/>
      <c r="C40"/>
      <c r="D40"/>
      <c r="E40"/>
      <c r="F40"/>
      <c r="V40"/>
    </row>
    <row r="41" spans="1:22" x14ac:dyDescent="0.35">
      <c r="A41"/>
      <c r="B41"/>
      <c r="C41"/>
      <c r="D41"/>
      <c r="E41"/>
      <c r="F41"/>
      <c r="V41"/>
    </row>
    <row r="42" spans="1:22" x14ac:dyDescent="0.35">
      <c r="A42"/>
      <c r="B42"/>
      <c r="C42"/>
      <c r="D42"/>
      <c r="E42"/>
      <c r="F42"/>
      <c r="V42"/>
    </row>
    <row r="43" spans="1:22" x14ac:dyDescent="0.35">
      <c r="A43"/>
      <c r="B43"/>
      <c r="C43"/>
      <c r="D43"/>
      <c r="E43"/>
      <c r="F43"/>
      <c r="V43"/>
    </row>
    <row r="44" spans="1:22" x14ac:dyDescent="0.35">
      <c r="A44"/>
      <c r="B44"/>
      <c r="C44"/>
      <c r="D44"/>
      <c r="E44"/>
      <c r="F44"/>
      <c r="V44"/>
    </row>
    <row r="45" spans="1:22" x14ac:dyDescent="0.35">
      <c r="A45"/>
      <c r="B45"/>
      <c r="C45"/>
      <c r="D45"/>
      <c r="E45"/>
      <c r="F45"/>
      <c r="V45"/>
    </row>
    <row r="46" spans="1:22" x14ac:dyDescent="0.35">
      <c r="A46"/>
      <c r="B46"/>
      <c r="C46"/>
      <c r="D46"/>
      <c r="E46"/>
      <c r="F46"/>
      <c r="V46"/>
    </row>
    <row r="47" spans="1:22" x14ac:dyDescent="0.35">
      <c r="A47"/>
      <c r="B47"/>
      <c r="C47"/>
      <c r="D47"/>
      <c r="E47"/>
      <c r="F47"/>
      <c r="V47"/>
    </row>
    <row r="48" spans="1:22" x14ac:dyDescent="0.35">
      <c r="A48" s="175"/>
      <c r="B48" s="175"/>
      <c r="C48" s="175"/>
      <c r="D48" s="175"/>
      <c r="E48" s="175"/>
      <c r="F48" s="175"/>
      <c r="V48"/>
    </row>
    <row r="49" spans="22:22" x14ac:dyDescent="0.35">
      <c r="V49"/>
    </row>
    <row r="50" spans="22:22" x14ac:dyDescent="0.35">
      <c r="V50"/>
    </row>
    <row r="51" spans="22:22" x14ac:dyDescent="0.35">
      <c r="V51"/>
    </row>
    <row r="52" spans="22:22" x14ac:dyDescent="0.35">
      <c r="V52"/>
    </row>
    <row r="53" spans="22:22" x14ac:dyDescent="0.35">
      <c r="V53"/>
    </row>
    <row r="54" spans="22:22" x14ac:dyDescent="0.35">
      <c r="V54"/>
    </row>
    <row r="55" spans="22:22" x14ac:dyDescent="0.35">
      <c r="V55"/>
    </row>
    <row r="56" spans="22:22" x14ac:dyDescent="0.35">
      <c r="V56"/>
    </row>
    <row r="57" spans="22:22" x14ac:dyDescent="0.35">
      <c r="V57"/>
    </row>
    <row r="58" spans="22:22" x14ac:dyDescent="0.35">
      <c r="V58"/>
    </row>
    <row r="59" spans="22:22" x14ac:dyDescent="0.35">
      <c r="V59"/>
    </row>
    <row r="60" spans="22:22" x14ac:dyDescent="0.35">
      <c r="V60"/>
    </row>
    <row r="61" spans="22:22" x14ac:dyDescent="0.35">
      <c r="V61"/>
    </row>
    <row r="62" spans="22:22" x14ac:dyDescent="0.35">
      <c r="V62"/>
    </row>
    <row r="63" spans="22:22" x14ac:dyDescent="0.35">
      <c r="V63"/>
    </row>
    <row r="64" spans="22:22" x14ac:dyDescent="0.35">
      <c r="V64"/>
    </row>
    <row r="65" spans="22:22" x14ac:dyDescent="0.35">
      <c r="V65"/>
    </row>
    <row r="66" spans="22:22" x14ac:dyDescent="0.35">
      <c r="V66"/>
    </row>
    <row r="67" spans="22:22" x14ac:dyDescent="0.35">
      <c r="V67"/>
    </row>
    <row r="68" spans="22:22" x14ac:dyDescent="0.35">
      <c r="V68"/>
    </row>
    <row r="69" spans="22:22" x14ac:dyDescent="0.35">
      <c r="V69"/>
    </row>
    <row r="70" spans="22:22" x14ac:dyDescent="0.35">
      <c r="V70"/>
    </row>
    <row r="71" spans="22:22" x14ac:dyDescent="0.35">
      <c r="V71"/>
    </row>
    <row r="72" spans="22:22" x14ac:dyDescent="0.35">
      <c r="V72"/>
    </row>
    <row r="73" spans="22:22" x14ac:dyDescent="0.35">
      <c r="V73"/>
    </row>
    <row r="74" spans="22:22" x14ac:dyDescent="0.35">
      <c r="V74"/>
    </row>
    <row r="75" spans="22:22" x14ac:dyDescent="0.35">
      <c r="V75"/>
    </row>
    <row r="76" spans="22:22" x14ac:dyDescent="0.35">
      <c r="V76"/>
    </row>
    <row r="77" spans="22:22" x14ac:dyDescent="0.35">
      <c r="V77"/>
    </row>
    <row r="78" spans="22:22" x14ac:dyDescent="0.35">
      <c r="V78"/>
    </row>
    <row r="79" spans="22:22" x14ac:dyDescent="0.35">
      <c r="V79"/>
    </row>
    <row r="80" spans="22:22" x14ac:dyDescent="0.35">
      <c r="V80"/>
    </row>
    <row r="81" spans="22:22" x14ac:dyDescent="0.35">
      <c r="V81"/>
    </row>
    <row r="82" spans="22:22" x14ac:dyDescent="0.35">
      <c r="V82"/>
    </row>
    <row r="83" spans="22:22" x14ac:dyDescent="0.35">
      <c r="V83" s="175"/>
    </row>
  </sheetData>
  <mergeCells count="3">
    <mergeCell ref="G3:H3"/>
    <mergeCell ref="I3:J3"/>
    <mergeCell ref="K3:L3"/>
  </mergeCells>
  <conditionalFormatting sqref="K2:K9">
    <cfRule type="containsText" dxfId="17" priority="4" operator="containsText" text="high">
      <formula>NOT(ISERROR(SEARCH("high",K2)))</formula>
    </cfRule>
    <cfRule type="containsText" dxfId="16" priority="5" operator="containsText" text="medium">
      <formula>NOT(ISERROR(SEARCH("medium",K2)))</formula>
    </cfRule>
    <cfRule type="containsText" dxfId="15" priority="6" operator="containsText" text="low">
      <formula>NOT(ISERROR(SEARCH("low",K2)))</formula>
    </cfRule>
  </conditionalFormatting>
  <conditionalFormatting sqref="K5">
    <cfRule type="containsText" dxfId="14" priority="1" operator="containsText" text="high">
      <formula>NOT(ISERROR(SEARCH("high",K5)))</formula>
    </cfRule>
    <cfRule type="containsText" dxfId="13" priority="2" operator="containsText" text="medium">
      <formula>NOT(ISERROR(SEARCH("medium",K5)))</formula>
    </cfRule>
    <cfRule type="containsText" dxfId="12" priority="3" operator="containsText" text="low">
      <formula>NOT(ISERROR(SEARCH("low",K5)))</formula>
    </cfRule>
  </conditionalFormatting>
  <dataValidations count="2">
    <dataValidation type="list" allowBlank="1" showInputMessage="1" showErrorMessage="1" sqref="I2:I9" xr:uid="{C07565F9-AEFD-4E01-9DC9-0C84FDA77944}">
      <formula1>Likelihood</formula1>
    </dataValidation>
    <dataValidation type="list" allowBlank="1" showInputMessage="1" showErrorMessage="1" sqref="G4:G9" xr:uid="{BE34E109-C234-499B-80BC-1A8C736C528B}">
      <formula1>Impact.</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311B-87B1-445C-97A6-70A0EF8E6E5F}">
  <dimension ref="A1:Z108"/>
  <sheetViews>
    <sheetView workbookViewId="0"/>
  </sheetViews>
  <sheetFormatPr defaultRowHeight="14.5" x14ac:dyDescent="0.35"/>
  <cols>
    <col min="1" max="1" width="10.453125" style="62" customWidth="1"/>
    <col min="2" max="2" width="11.26953125" customWidth="1"/>
    <col min="3" max="3" width="16.90625" customWidth="1"/>
    <col min="4" max="4" width="22.90625" customWidth="1"/>
    <col min="5" max="5" width="11.453125" customWidth="1"/>
    <col min="6" max="6" width="39.08984375" customWidth="1"/>
    <col min="9" max="9" width="10.54296875" customWidth="1"/>
    <col min="13" max="13" width="10.1796875" customWidth="1"/>
    <col min="14" max="14" width="29.90625" customWidth="1"/>
    <col min="16" max="16" width="10.6328125" customWidth="1"/>
    <col min="17" max="17" width="8.7265625" style="62"/>
    <col min="18" max="18" width="10.81640625" style="62" customWidth="1"/>
    <col min="19" max="19" width="67.90625" style="62" customWidth="1"/>
    <col min="20" max="20" width="14.81640625" customWidth="1"/>
    <col min="21" max="21" width="74.26953125" style="220" customWidth="1"/>
    <col min="22" max="22" width="14.81640625" style="208" customWidth="1"/>
    <col min="23" max="23" width="15.08984375" customWidth="1"/>
    <col min="24" max="24" width="11.81640625" customWidth="1"/>
    <col min="25" max="25" width="16.453125" customWidth="1"/>
    <col min="26" max="26" width="39.36328125" style="215" customWidth="1"/>
  </cols>
  <sheetData>
    <row r="1" spans="1:26" x14ac:dyDescent="0.35">
      <c r="A1"/>
      <c r="Q1"/>
      <c r="R1"/>
      <c r="S1"/>
      <c r="U1" s="63"/>
      <c r="Z1" s="214"/>
    </row>
    <row r="2" spans="1:26" x14ac:dyDescent="0.35">
      <c r="A2" s="204"/>
      <c r="Q2"/>
      <c r="R2"/>
      <c r="S2"/>
      <c r="U2" s="212"/>
    </row>
    <row r="3" spans="1:26" s="62" customFormat="1" ht="87.5" customHeight="1" x14ac:dyDescent="0.35">
      <c r="A3" s="72" t="s">
        <v>73</v>
      </c>
      <c r="B3" s="72" t="s">
        <v>0</v>
      </c>
      <c r="C3" s="72" t="s">
        <v>222</v>
      </c>
      <c r="D3" s="72" t="s">
        <v>113</v>
      </c>
      <c r="E3" s="72" t="s">
        <v>212</v>
      </c>
      <c r="F3" s="73" t="s">
        <v>140</v>
      </c>
      <c r="G3" s="267" t="s">
        <v>141</v>
      </c>
      <c r="H3" s="267"/>
      <c r="I3" s="267" t="s">
        <v>142</v>
      </c>
      <c r="J3" s="267"/>
      <c r="K3" s="267" t="s">
        <v>143</v>
      </c>
      <c r="L3" s="267"/>
      <c r="M3" s="72" t="s">
        <v>213</v>
      </c>
      <c r="N3" s="74" t="s">
        <v>147</v>
      </c>
      <c r="O3" s="81" t="s">
        <v>164</v>
      </c>
      <c r="P3" s="164" t="s">
        <v>144</v>
      </c>
      <c r="Q3" s="72" t="s">
        <v>145</v>
      </c>
      <c r="R3" s="72" t="s">
        <v>146</v>
      </c>
      <c r="S3" s="72" t="s">
        <v>2</v>
      </c>
      <c r="T3" s="75" t="s">
        <v>1</v>
      </c>
      <c r="U3" s="72" t="s">
        <v>243</v>
      </c>
      <c r="V3" s="209" t="s">
        <v>141</v>
      </c>
      <c r="W3" s="205" t="s">
        <v>280</v>
      </c>
      <c r="X3" s="206" t="s">
        <v>164</v>
      </c>
      <c r="Y3" s="189" t="s">
        <v>281</v>
      </c>
      <c r="Z3" s="216" t="s">
        <v>244</v>
      </c>
    </row>
    <row r="4" spans="1:26" s="62" customFormat="1" ht="238.5" customHeight="1" x14ac:dyDescent="0.35">
      <c r="A4" s="143" t="s">
        <v>156</v>
      </c>
      <c r="B4" s="143" t="s">
        <v>154</v>
      </c>
      <c r="C4" s="144" t="s">
        <v>169</v>
      </c>
      <c r="D4" s="145" t="s">
        <v>175</v>
      </c>
      <c r="E4" s="146" t="s">
        <v>116</v>
      </c>
      <c r="F4" s="147" t="s">
        <v>275</v>
      </c>
      <c r="G4" s="180" t="s">
        <v>22</v>
      </c>
      <c r="H4" s="148">
        <v>5</v>
      </c>
      <c r="I4" s="149" t="s">
        <v>35</v>
      </c>
      <c r="J4" s="148">
        <v>5</v>
      </c>
      <c r="K4" s="150" t="s">
        <v>72</v>
      </c>
      <c r="L4" s="148">
        <f t="shared" ref="L4:L9" si="0">H4*J4</f>
        <v>25</v>
      </c>
      <c r="M4" s="148">
        <v>8</v>
      </c>
      <c r="N4" s="147" t="s">
        <v>258</v>
      </c>
      <c r="O4" s="151">
        <v>0.8</v>
      </c>
      <c r="P4" s="150">
        <v>20</v>
      </c>
      <c r="Q4" s="152" t="s">
        <v>168</v>
      </c>
      <c r="R4" s="152" t="s">
        <v>155</v>
      </c>
      <c r="S4" s="147" t="s">
        <v>257</v>
      </c>
      <c r="T4" s="153">
        <v>46112</v>
      </c>
      <c r="U4" s="147" t="s">
        <v>283</v>
      </c>
      <c r="V4" s="158">
        <v>5</v>
      </c>
      <c r="W4" s="210">
        <v>5</v>
      </c>
      <c r="X4" s="210">
        <v>0.8</v>
      </c>
      <c r="Y4" s="194">
        <f>V4*W4*X4</f>
        <v>20</v>
      </c>
      <c r="Z4" s="217" t="s">
        <v>251</v>
      </c>
    </row>
    <row r="5" spans="1:26" s="62" customFormat="1" ht="208" customHeight="1" x14ac:dyDescent="0.35">
      <c r="A5" s="187">
        <v>3.1</v>
      </c>
      <c r="B5" s="155" t="s">
        <v>161</v>
      </c>
      <c r="C5" s="144" t="s">
        <v>176</v>
      </c>
      <c r="D5" s="146" t="s">
        <v>214</v>
      </c>
      <c r="E5" s="146" t="s">
        <v>117</v>
      </c>
      <c r="F5" s="156" t="s">
        <v>261</v>
      </c>
      <c r="G5" s="201" t="s">
        <v>23</v>
      </c>
      <c r="H5" s="157">
        <v>5</v>
      </c>
      <c r="I5" s="158" t="s">
        <v>35</v>
      </c>
      <c r="J5" s="157">
        <v>4</v>
      </c>
      <c r="K5" s="159" t="s">
        <v>71</v>
      </c>
      <c r="L5" s="157">
        <f t="shared" si="0"/>
        <v>20</v>
      </c>
      <c r="M5" s="157">
        <v>6</v>
      </c>
      <c r="N5" s="147" t="s">
        <v>262</v>
      </c>
      <c r="O5" s="151">
        <v>0.8</v>
      </c>
      <c r="P5" s="159">
        <v>16</v>
      </c>
      <c r="Q5" s="158" t="s">
        <v>163</v>
      </c>
      <c r="R5" s="158" t="s">
        <v>153</v>
      </c>
      <c r="S5" s="147" t="s">
        <v>263</v>
      </c>
      <c r="T5" s="153">
        <v>46112</v>
      </c>
      <c r="U5" s="147" t="s">
        <v>284</v>
      </c>
      <c r="V5" s="158">
        <v>5</v>
      </c>
      <c r="W5" s="210">
        <v>4</v>
      </c>
      <c r="X5" s="210">
        <v>0.8</v>
      </c>
      <c r="Y5" s="194">
        <f t="shared" ref="Y5:Y9" si="1">V5*W5*X5</f>
        <v>16</v>
      </c>
      <c r="Z5" s="218" t="s">
        <v>246</v>
      </c>
    </row>
    <row r="6" spans="1:26" s="62" customFormat="1" ht="128" customHeight="1" x14ac:dyDescent="0.35">
      <c r="A6" s="155" t="s">
        <v>170</v>
      </c>
      <c r="B6" s="155" t="s">
        <v>171</v>
      </c>
      <c r="C6" s="144" t="s">
        <v>174</v>
      </c>
      <c r="D6" s="146" t="s">
        <v>172</v>
      </c>
      <c r="E6" s="146" t="s">
        <v>117</v>
      </c>
      <c r="F6" s="156" t="s">
        <v>259</v>
      </c>
      <c r="G6" s="180" t="s">
        <v>22</v>
      </c>
      <c r="H6" s="148">
        <v>5</v>
      </c>
      <c r="I6" s="152" t="s">
        <v>38</v>
      </c>
      <c r="J6" s="148">
        <v>4</v>
      </c>
      <c r="K6" s="160" t="s">
        <v>71</v>
      </c>
      <c r="L6" s="148">
        <f t="shared" si="0"/>
        <v>20</v>
      </c>
      <c r="M6" s="148">
        <v>10</v>
      </c>
      <c r="N6" s="147" t="s">
        <v>260</v>
      </c>
      <c r="O6" s="151">
        <v>0.8</v>
      </c>
      <c r="P6" s="150">
        <v>16</v>
      </c>
      <c r="Q6" s="161" t="s">
        <v>160</v>
      </c>
      <c r="R6" s="152" t="s">
        <v>153</v>
      </c>
      <c r="S6" s="147" t="s">
        <v>267</v>
      </c>
      <c r="T6" s="153">
        <v>46112</v>
      </c>
      <c r="U6" s="147" t="s">
        <v>285</v>
      </c>
      <c r="V6" s="158">
        <v>5</v>
      </c>
      <c r="W6" s="210">
        <v>4</v>
      </c>
      <c r="X6" s="210">
        <v>0.8</v>
      </c>
      <c r="Y6" s="194">
        <f t="shared" si="1"/>
        <v>16</v>
      </c>
      <c r="Z6" s="218" t="s">
        <v>248</v>
      </c>
    </row>
    <row r="7" spans="1:26" s="62" customFormat="1" ht="126.5" customHeight="1" x14ac:dyDescent="0.35">
      <c r="A7" s="155" t="s">
        <v>158</v>
      </c>
      <c r="B7" s="144" t="s">
        <v>159</v>
      </c>
      <c r="C7" s="144" t="s">
        <v>177</v>
      </c>
      <c r="D7" s="146" t="s">
        <v>215</v>
      </c>
      <c r="E7" s="146" t="s">
        <v>116</v>
      </c>
      <c r="F7" s="156" t="s">
        <v>264</v>
      </c>
      <c r="G7" s="180" t="s">
        <v>23</v>
      </c>
      <c r="H7" s="148">
        <v>4</v>
      </c>
      <c r="I7" s="149" t="s">
        <v>38</v>
      </c>
      <c r="J7" s="148">
        <v>4</v>
      </c>
      <c r="K7" s="160" t="s">
        <v>71</v>
      </c>
      <c r="L7" s="148">
        <f t="shared" si="0"/>
        <v>16</v>
      </c>
      <c r="M7" s="148">
        <v>4</v>
      </c>
      <c r="N7" s="147" t="s">
        <v>265</v>
      </c>
      <c r="O7" s="151">
        <v>0.8</v>
      </c>
      <c r="P7" s="160">
        <v>12.8</v>
      </c>
      <c r="Q7" s="158" t="s">
        <v>165</v>
      </c>
      <c r="R7" s="158" t="s">
        <v>153</v>
      </c>
      <c r="S7" s="147" t="s">
        <v>266</v>
      </c>
      <c r="T7" s="153">
        <v>46112</v>
      </c>
      <c r="U7" s="147" t="s">
        <v>250</v>
      </c>
      <c r="V7" s="158">
        <v>4</v>
      </c>
      <c r="W7" s="210">
        <v>4</v>
      </c>
      <c r="X7" s="210">
        <v>0.8</v>
      </c>
      <c r="Y7" s="193">
        <f t="shared" si="1"/>
        <v>12.8</v>
      </c>
      <c r="Z7" s="218" t="s">
        <v>249</v>
      </c>
    </row>
    <row r="8" spans="1:26" s="62" customFormat="1" ht="156" x14ac:dyDescent="0.35">
      <c r="A8" s="196">
        <v>3.3</v>
      </c>
      <c r="B8" s="197">
        <v>3</v>
      </c>
      <c r="C8" s="198" t="s">
        <v>228</v>
      </c>
      <c r="D8" s="199" t="s">
        <v>241</v>
      </c>
      <c r="E8" s="145" t="s">
        <v>227</v>
      </c>
      <c r="F8" s="156" t="s">
        <v>270</v>
      </c>
      <c r="G8" s="180" t="s">
        <v>23</v>
      </c>
      <c r="H8" s="148">
        <v>4</v>
      </c>
      <c r="I8" s="152" t="s">
        <v>38</v>
      </c>
      <c r="J8" s="148">
        <v>4</v>
      </c>
      <c r="K8" s="160" t="s">
        <v>71</v>
      </c>
      <c r="L8" s="148">
        <f t="shared" si="0"/>
        <v>16</v>
      </c>
      <c r="M8" s="148">
        <v>8</v>
      </c>
      <c r="N8" s="147" t="s">
        <v>271</v>
      </c>
      <c r="O8" s="151">
        <v>0.8</v>
      </c>
      <c r="P8" s="160">
        <v>12.8</v>
      </c>
      <c r="Q8" s="152" t="s">
        <v>163</v>
      </c>
      <c r="R8" s="152" t="s">
        <v>153</v>
      </c>
      <c r="S8" s="147" t="s">
        <v>268</v>
      </c>
      <c r="T8" s="153">
        <v>46112</v>
      </c>
      <c r="U8" s="147" t="s">
        <v>253</v>
      </c>
      <c r="V8" s="158">
        <v>4</v>
      </c>
      <c r="W8" s="210">
        <v>4</v>
      </c>
      <c r="X8" s="210">
        <v>0.8</v>
      </c>
      <c r="Y8" s="193">
        <f t="shared" si="1"/>
        <v>12.8</v>
      </c>
      <c r="Z8" s="218" t="s">
        <v>254</v>
      </c>
    </row>
    <row r="9" spans="1:26" s="62" customFormat="1" ht="96" x14ac:dyDescent="0.35">
      <c r="A9" s="202" t="s">
        <v>231</v>
      </c>
      <c r="B9" s="162" t="s">
        <v>232</v>
      </c>
      <c r="C9" s="144" t="s">
        <v>229</v>
      </c>
      <c r="D9" s="169" t="s">
        <v>242</v>
      </c>
      <c r="E9" s="145" t="s">
        <v>117</v>
      </c>
      <c r="F9" s="147" t="s">
        <v>269</v>
      </c>
      <c r="G9" s="180" t="s">
        <v>23</v>
      </c>
      <c r="H9" s="148">
        <v>4</v>
      </c>
      <c r="I9" s="149" t="s">
        <v>38</v>
      </c>
      <c r="J9" s="148">
        <v>4</v>
      </c>
      <c r="K9" s="160" t="s">
        <v>71</v>
      </c>
      <c r="L9" s="148">
        <f t="shared" si="0"/>
        <v>16</v>
      </c>
      <c r="M9" s="148">
        <v>0</v>
      </c>
      <c r="N9" s="147" t="s">
        <v>272</v>
      </c>
      <c r="O9" s="151">
        <v>0.8</v>
      </c>
      <c r="P9" s="160">
        <v>12.8</v>
      </c>
      <c r="Q9" s="152" t="s">
        <v>157</v>
      </c>
      <c r="R9" s="152" t="s">
        <v>153</v>
      </c>
      <c r="S9" s="147" t="s">
        <v>273</v>
      </c>
      <c r="T9" s="153">
        <v>46112</v>
      </c>
      <c r="U9" s="147" t="s">
        <v>287</v>
      </c>
      <c r="V9" s="158">
        <v>4</v>
      </c>
      <c r="W9" s="210">
        <v>4</v>
      </c>
      <c r="X9" s="210">
        <v>0.8</v>
      </c>
      <c r="Y9" s="193">
        <f t="shared" si="1"/>
        <v>12.8</v>
      </c>
      <c r="Z9" s="218" t="s">
        <v>256</v>
      </c>
    </row>
    <row r="10" spans="1:26" x14ac:dyDescent="0.35">
      <c r="A10"/>
      <c r="Q10" s="200"/>
      <c r="R10" s="200"/>
      <c r="S10" s="207"/>
      <c r="U10" s="213"/>
    </row>
    <row r="11" spans="1:26" x14ac:dyDescent="0.35">
      <c r="A11"/>
      <c r="Q11"/>
      <c r="R11"/>
      <c r="S11"/>
      <c r="U11" s="63"/>
    </row>
    <row r="12" spans="1:26" x14ac:dyDescent="0.35">
      <c r="A12"/>
      <c r="Q12"/>
      <c r="R12"/>
      <c r="S12"/>
      <c r="U12" s="63"/>
    </row>
    <row r="13" spans="1:26" x14ac:dyDescent="0.35">
      <c r="A13"/>
      <c r="Q13"/>
      <c r="R13"/>
      <c r="S13"/>
      <c r="U13" s="63"/>
    </row>
    <row r="14" spans="1:26" x14ac:dyDescent="0.35">
      <c r="A14"/>
      <c r="Q14"/>
      <c r="R14"/>
      <c r="S14"/>
      <c r="U14" s="63"/>
    </row>
    <row r="15" spans="1:26" x14ac:dyDescent="0.35">
      <c r="A15"/>
      <c r="Q15"/>
      <c r="R15"/>
      <c r="S15"/>
      <c r="U15" s="63"/>
    </row>
    <row r="16" spans="1:26" x14ac:dyDescent="0.35">
      <c r="A16"/>
      <c r="Q16"/>
      <c r="R16"/>
      <c r="S16"/>
      <c r="U16" s="63"/>
    </row>
    <row r="17" spans="1:21" x14ac:dyDescent="0.35">
      <c r="A17"/>
      <c r="Q17"/>
      <c r="R17"/>
      <c r="S17"/>
      <c r="U17" s="63"/>
    </row>
    <row r="18" spans="1:21" x14ac:dyDescent="0.35">
      <c r="A18"/>
      <c r="Q18"/>
      <c r="R18"/>
      <c r="S18"/>
      <c r="U18" s="63"/>
    </row>
    <row r="19" spans="1:21" x14ac:dyDescent="0.35">
      <c r="A19"/>
      <c r="Q19"/>
      <c r="R19"/>
      <c r="S19"/>
      <c r="U19" s="63"/>
    </row>
    <row r="20" spans="1:21" x14ac:dyDescent="0.35">
      <c r="A20"/>
      <c r="Q20"/>
      <c r="R20"/>
      <c r="S20"/>
      <c r="U20" s="63"/>
    </row>
    <row r="21" spans="1:21" x14ac:dyDescent="0.35">
      <c r="A21"/>
      <c r="Q21"/>
      <c r="R21"/>
      <c r="S21"/>
      <c r="U21" s="63"/>
    </row>
    <row r="22" spans="1:21" x14ac:dyDescent="0.35">
      <c r="A22"/>
      <c r="Q22"/>
      <c r="R22"/>
      <c r="S22"/>
      <c r="U22" s="63"/>
    </row>
    <row r="23" spans="1:21" x14ac:dyDescent="0.35">
      <c r="A23"/>
      <c r="Q23"/>
      <c r="R23"/>
      <c r="S23"/>
      <c r="U23" s="63"/>
    </row>
    <row r="24" spans="1:21" x14ac:dyDescent="0.35">
      <c r="A24"/>
      <c r="Q24"/>
      <c r="R24"/>
      <c r="S24"/>
      <c r="U24" s="63"/>
    </row>
    <row r="25" spans="1:21" x14ac:dyDescent="0.35">
      <c r="A25"/>
      <c r="Q25"/>
      <c r="R25"/>
      <c r="S25"/>
      <c r="U25" s="63"/>
    </row>
    <row r="26" spans="1:21" x14ac:dyDescent="0.35">
      <c r="A26"/>
      <c r="Q26"/>
      <c r="R26"/>
      <c r="S26"/>
      <c r="U26" s="63"/>
    </row>
    <row r="27" spans="1:21" x14ac:dyDescent="0.35">
      <c r="A27"/>
      <c r="Q27"/>
      <c r="R27"/>
      <c r="S27"/>
      <c r="U27" s="63"/>
    </row>
    <row r="28" spans="1:21" x14ac:dyDescent="0.35">
      <c r="A28"/>
      <c r="Q28"/>
      <c r="R28"/>
      <c r="S28"/>
      <c r="U28" s="63"/>
    </row>
    <row r="29" spans="1:21" x14ac:dyDescent="0.35">
      <c r="A29"/>
      <c r="Q29"/>
      <c r="R29"/>
      <c r="S29"/>
      <c r="U29" s="63"/>
    </row>
    <row r="30" spans="1:21" x14ac:dyDescent="0.35">
      <c r="A30"/>
      <c r="Q30"/>
      <c r="R30"/>
      <c r="S30"/>
      <c r="U30" s="63"/>
    </row>
    <row r="31" spans="1:21" x14ac:dyDescent="0.35">
      <c r="A31"/>
      <c r="Q31"/>
      <c r="R31"/>
      <c r="S31"/>
      <c r="U31" s="63"/>
    </row>
    <row r="32" spans="1:21" x14ac:dyDescent="0.35">
      <c r="A32"/>
      <c r="Q32"/>
      <c r="R32"/>
      <c r="S32"/>
      <c r="U32" s="63"/>
    </row>
    <row r="33" spans="1:21" x14ac:dyDescent="0.35">
      <c r="A33"/>
      <c r="Q33"/>
      <c r="R33"/>
      <c r="S33"/>
      <c r="U33" s="63"/>
    </row>
    <row r="34" spans="1:21" x14ac:dyDescent="0.35">
      <c r="A34"/>
      <c r="Q34"/>
      <c r="R34"/>
      <c r="S34"/>
      <c r="U34" s="63"/>
    </row>
    <row r="35" spans="1:21" x14ac:dyDescent="0.35">
      <c r="A35"/>
      <c r="Q35"/>
      <c r="R35"/>
      <c r="S35"/>
      <c r="U35" s="63"/>
    </row>
    <row r="36" spans="1:21" x14ac:dyDescent="0.35">
      <c r="A36"/>
      <c r="Q36"/>
      <c r="R36"/>
      <c r="S36"/>
      <c r="U36" s="63"/>
    </row>
    <row r="37" spans="1:21" x14ac:dyDescent="0.35">
      <c r="A37"/>
      <c r="Q37"/>
      <c r="R37"/>
      <c r="S37"/>
      <c r="U37" s="63"/>
    </row>
    <row r="38" spans="1:21" x14ac:dyDescent="0.35">
      <c r="A38"/>
      <c r="Q38"/>
      <c r="R38"/>
      <c r="S38"/>
      <c r="U38" s="63"/>
    </row>
    <row r="39" spans="1:21" x14ac:dyDescent="0.35">
      <c r="A39"/>
      <c r="Q39"/>
      <c r="R39"/>
      <c r="S39"/>
      <c r="U39" s="63"/>
    </row>
    <row r="40" spans="1:21" x14ac:dyDescent="0.35">
      <c r="A40"/>
      <c r="Q40"/>
      <c r="R40"/>
      <c r="S40"/>
      <c r="U40" s="63"/>
    </row>
    <row r="41" spans="1:21" x14ac:dyDescent="0.35">
      <c r="A41"/>
      <c r="Q41"/>
      <c r="R41"/>
      <c r="S41"/>
      <c r="U41" s="63"/>
    </row>
    <row r="42" spans="1:21" x14ac:dyDescent="0.35">
      <c r="A42"/>
      <c r="Q42"/>
      <c r="R42"/>
      <c r="S42"/>
      <c r="U42" s="63"/>
    </row>
    <row r="43" spans="1:21" x14ac:dyDescent="0.35">
      <c r="A43"/>
      <c r="Q43"/>
      <c r="R43"/>
      <c r="S43"/>
      <c r="U43" s="63"/>
    </row>
    <row r="44" spans="1:21" x14ac:dyDescent="0.35">
      <c r="A44"/>
      <c r="Q44"/>
      <c r="R44"/>
      <c r="S44"/>
      <c r="U44" s="63"/>
    </row>
    <row r="45" spans="1:21" x14ac:dyDescent="0.35">
      <c r="A45"/>
      <c r="Q45"/>
      <c r="R45"/>
      <c r="S45"/>
      <c r="U45" s="63"/>
    </row>
    <row r="46" spans="1:21" x14ac:dyDescent="0.35">
      <c r="A46"/>
      <c r="Q46"/>
      <c r="R46"/>
      <c r="S46"/>
      <c r="U46" s="63"/>
    </row>
    <row r="47" spans="1:21" x14ac:dyDescent="0.35">
      <c r="A47"/>
      <c r="Q47"/>
      <c r="R47"/>
      <c r="S47"/>
      <c r="U47" s="63"/>
    </row>
    <row r="48" spans="1:21" x14ac:dyDescent="0.35">
      <c r="A48"/>
      <c r="Q48"/>
      <c r="R48"/>
      <c r="S48"/>
      <c r="U48" s="63"/>
    </row>
    <row r="49" spans="1:21" x14ac:dyDescent="0.35">
      <c r="A49"/>
      <c r="Q49"/>
      <c r="R49"/>
      <c r="S49"/>
      <c r="U49" s="63"/>
    </row>
    <row r="50" spans="1:21" x14ac:dyDescent="0.35">
      <c r="A50"/>
      <c r="Q50"/>
      <c r="R50"/>
      <c r="S50"/>
      <c r="U50" s="63"/>
    </row>
    <row r="51" spans="1:21" x14ac:dyDescent="0.35">
      <c r="A51"/>
      <c r="Q51"/>
      <c r="R51"/>
      <c r="S51"/>
      <c r="U51" s="63"/>
    </row>
    <row r="52" spans="1:21" x14ac:dyDescent="0.35">
      <c r="A52"/>
      <c r="Q52"/>
      <c r="R52"/>
      <c r="S52"/>
      <c r="U52" s="63"/>
    </row>
    <row r="53" spans="1:21" x14ac:dyDescent="0.35">
      <c r="A53"/>
      <c r="Q53"/>
      <c r="R53"/>
      <c r="S53"/>
      <c r="U53" s="63"/>
    </row>
    <row r="54" spans="1:21" x14ac:dyDescent="0.35">
      <c r="A54"/>
      <c r="Q54"/>
      <c r="R54"/>
      <c r="S54"/>
      <c r="U54" s="63"/>
    </row>
    <row r="55" spans="1:21" x14ac:dyDescent="0.35">
      <c r="A55"/>
      <c r="Q55"/>
      <c r="R55"/>
      <c r="S55"/>
      <c r="U55" s="63"/>
    </row>
    <row r="56" spans="1:21" x14ac:dyDescent="0.35">
      <c r="A56"/>
      <c r="Q56"/>
      <c r="R56"/>
      <c r="S56"/>
      <c r="U56" s="63"/>
    </row>
    <row r="57" spans="1:21" x14ac:dyDescent="0.35">
      <c r="A57"/>
      <c r="Q57"/>
      <c r="R57"/>
      <c r="S57"/>
      <c r="U57" s="63"/>
    </row>
    <row r="58" spans="1:21" x14ac:dyDescent="0.35">
      <c r="A58"/>
      <c r="Q58"/>
      <c r="R58"/>
      <c r="S58"/>
      <c r="U58" s="63"/>
    </row>
    <row r="59" spans="1:21" x14ac:dyDescent="0.35">
      <c r="A59"/>
      <c r="Q59"/>
      <c r="R59"/>
      <c r="S59"/>
      <c r="U59" s="63"/>
    </row>
    <row r="60" spans="1:21" x14ac:dyDescent="0.35">
      <c r="A60"/>
      <c r="Q60"/>
      <c r="R60"/>
      <c r="S60"/>
      <c r="U60" s="63"/>
    </row>
    <row r="61" spans="1:21" x14ac:dyDescent="0.35">
      <c r="A61"/>
      <c r="Q61"/>
      <c r="R61"/>
      <c r="S61"/>
      <c r="U61" s="63"/>
    </row>
    <row r="62" spans="1:21" x14ac:dyDescent="0.35">
      <c r="A62"/>
      <c r="Q62"/>
      <c r="R62"/>
      <c r="S62"/>
      <c r="U62" s="63"/>
    </row>
    <row r="63" spans="1:21" x14ac:dyDescent="0.35">
      <c r="A63"/>
      <c r="Q63"/>
      <c r="R63"/>
      <c r="S63"/>
      <c r="U63" s="63"/>
    </row>
    <row r="64" spans="1:21" x14ac:dyDescent="0.35">
      <c r="A64"/>
      <c r="Q64"/>
      <c r="R64"/>
      <c r="S64"/>
      <c r="U64" s="63"/>
    </row>
    <row r="65" spans="1:21" x14ac:dyDescent="0.35">
      <c r="A65"/>
      <c r="Q65"/>
      <c r="R65"/>
      <c r="S65"/>
      <c r="U65" s="63"/>
    </row>
    <row r="66" spans="1:21" x14ac:dyDescent="0.35">
      <c r="A66"/>
      <c r="Q66"/>
      <c r="R66"/>
      <c r="S66"/>
      <c r="U66" s="63"/>
    </row>
    <row r="67" spans="1:21" x14ac:dyDescent="0.35">
      <c r="A67"/>
      <c r="Q67"/>
      <c r="R67"/>
      <c r="S67"/>
      <c r="U67" s="63"/>
    </row>
    <row r="68" spans="1:21" x14ac:dyDescent="0.35">
      <c r="A68"/>
      <c r="Q68"/>
      <c r="R68"/>
      <c r="S68"/>
      <c r="U68" s="63"/>
    </row>
    <row r="69" spans="1:21" x14ac:dyDescent="0.35">
      <c r="A69"/>
      <c r="Q69"/>
      <c r="R69"/>
      <c r="S69"/>
      <c r="U69" s="63"/>
    </row>
    <row r="70" spans="1:21" x14ac:dyDescent="0.35">
      <c r="A70"/>
      <c r="Q70"/>
      <c r="R70"/>
      <c r="S70"/>
      <c r="U70" s="63"/>
    </row>
    <row r="71" spans="1:21" x14ac:dyDescent="0.35">
      <c r="A71"/>
      <c r="Q71"/>
      <c r="R71"/>
      <c r="S71"/>
      <c r="U71" s="63"/>
    </row>
    <row r="72" spans="1:21" x14ac:dyDescent="0.35">
      <c r="A72"/>
      <c r="Q72"/>
      <c r="R72"/>
      <c r="S72"/>
      <c r="U72" s="63"/>
    </row>
    <row r="73" spans="1:21" x14ac:dyDescent="0.35">
      <c r="A73"/>
      <c r="Q73"/>
      <c r="R73"/>
      <c r="S73"/>
      <c r="U73" s="63"/>
    </row>
    <row r="74" spans="1:21" x14ac:dyDescent="0.35">
      <c r="A74"/>
      <c r="Q74"/>
      <c r="R74"/>
      <c r="S74"/>
      <c r="U74" s="63"/>
    </row>
    <row r="75" spans="1:21" x14ac:dyDescent="0.35">
      <c r="A75"/>
      <c r="Q75"/>
      <c r="R75"/>
      <c r="S75"/>
      <c r="U75" s="63"/>
    </row>
    <row r="76" spans="1:21" x14ac:dyDescent="0.35">
      <c r="A76"/>
      <c r="Q76"/>
      <c r="R76"/>
      <c r="S76"/>
      <c r="U76" s="63"/>
    </row>
    <row r="77" spans="1:21" x14ac:dyDescent="0.35">
      <c r="A77"/>
      <c r="Q77"/>
      <c r="R77"/>
      <c r="S77"/>
      <c r="U77" s="63"/>
    </row>
    <row r="78" spans="1:21" x14ac:dyDescent="0.35">
      <c r="A78"/>
      <c r="Q78"/>
      <c r="R78"/>
      <c r="S78"/>
      <c r="U78" s="63"/>
    </row>
    <row r="79" spans="1:21" x14ac:dyDescent="0.35">
      <c r="A79"/>
      <c r="Q79"/>
      <c r="R79"/>
      <c r="S79"/>
      <c r="U79" s="63"/>
    </row>
    <row r="80" spans="1:21" x14ac:dyDescent="0.35">
      <c r="A80"/>
      <c r="Q80"/>
      <c r="R80"/>
      <c r="S80"/>
      <c r="U80" s="63"/>
    </row>
    <row r="81" spans="1:21" x14ac:dyDescent="0.35">
      <c r="A81"/>
      <c r="Q81"/>
      <c r="R81"/>
      <c r="S81"/>
      <c r="U81" s="63"/>
    </row>
    <row r="82" spans="1:21" x14ac:dyDescent="0.35">
      <c r="A82"/>
      <c r="Q82"/>
      <c r="R82"/>
      <c r="S82"/>
      <c r="U82" s="63"/>
    </row>
    <row r="83" spans="1:21" x14ac:dyDescent="0.35">
      <c r="A83"/>
      <c r="Q83"/>
      <c r="R83"/>
      <c r="S83"/>
      <c r="U83" s="63"/>
    </row>
    <row r="84" spans="1:21" x14ac:dyDescent="0.35">
      <c r="A84"/>
      <c r="Q84"/>
      <c r="R84"/>
      <c r="S84"/>
      <c r="U84" s="63"/>
    </row>
    <row r="85" spans="1:21" x14ac:dyDescent="0.35">
      <c r="A85"/>
      <c r="Q85"/>
      <c r="R85"/>
      <c r="S85"/>
      <c r="U85" s="63"/>
    </row>
    <row r="86" spans="1:21" x14ac:dyDescent="0.35">
      <c r="A86"/>
      <c r="Q86"/>
      <c r="R86"/>
      <c r="S86"/>
      <c r="U86" s="63"/>
    </row>
    <row r="87" spans="1:21" x14ac:dyDescent="0.35">
      <c r="A87"/>
      <c r="Q87"/>
      <c r="R87"/>
      <c r="S87"/>
      <c r="U87" s="63"/>
    </row>
    <row r="88" spans="1:21" x14ac:dyDescent="0.35">
      <c r="A88"/>
      <c r="Q88"/>
      <c r="R88"/>
      <c r="S88"/>
      <c r="U88" s="63"/>
    </row>
    <row r="89" spans="1:21" x14ac:dyDescent="0.35">
      <c r="A89"/>
      <c r="Q89"/>
      <c r="R89"/>
      <c r="S89"/>
      <c r="U89" s="63"/>
    </row>
    <row r="90" spans="1:21" x14ac:dyDescent="0.35">
      <c r="A90"/>
      <c r="Q90"/>
      <c r="R90"/>
      <c r="S90"/>
      <c r="U90" s="63"/>
    </row>
    <row r="91" spans="1:21" x14ac:dyDescent="0.35">
      <c r="A91"/>
      <c r="Q91"/>
      <c r="R91"/>
      <c r="S91"/>
      <c r="U91" s="63"/>
    </row>
    <row r="92" spans="1:21" x14ac:dyDescent="0.35">
      <c r="A92"/>
      <c r="Q92"/>
      <c r="R92"/>
      <c r="S92"/>
      <c r="U92" s="63"/>
    </row>
    <row r="93" spans="1:21" x14ac:dyDescent="0.35">
      <c r="A93"/>
      <c r="Q93"/>
      <c r="R93"/>
      <c r="S93"/>
      <c r="U93" s="63"/>
    </row>
    <row r="94" spans="1:21" x14ac:dyDescent="0.35">
      <c r="A94"/>
      <c r="Q94"/>
      <c r="R94"/>
      <c r="S94"/>
      <c r="U94" s="63"/>
    </row>
    <row r="95" spans="1:21" x14ac:dyDescent="0.35">
      <c r="A95"/>
      <c r="Q95"/>
      <c r="R95"/>
      <c r="S95"/>
      <c r="U95" s="63"/>
    </row>
    <row r="96" spans="1:21" x14ac:dyDescent="0.35">
      <c r="A96"/>
      <c r="Q96"/>
      <c r="R96"/>
      <c r="S96"/>
      <c r="U96" s="63"/>
    </row>
    <row r="97" spans="1:21" x14ac:dyDescent="0.35">
      <c r="A97"/>
      <c r="Q97"/>
      <c r="R97"/>
      <c r="S97"/>
      <c r="U97" s="63"/>
    </row>
    <row r="98" spans="1:21" x14ac:dyDescent="0.35">
      <c r="A98"/>
      <c r="Q98"/>
      <c r="R98"/>
      <c r="S98"/>
      <c r="U98" s="63"/>
    </row>
    <row r="99" spans="1:21" x14ac:dyDescent="0.35">
      <c r="A99"/>
      <c r="Q99"/>
      <c r="R99"/>
      <c r="S99"/>
      <c r="U99" s="63"/>
    </row>
    <row r="100" spans="1:21" x14ac:dyDescent="0.35">
      <c r="A100"/>
      <c r="Q100"/>
      <c r="R100"/>
      <c r="S100"/>
      <c r="U100" s="63"/>
    </row>
    <row r="101" spans="1:21" x14ac:dyDescent="0.35">
      <c r="A101"/>
      <c r="Q101"/>
      <c r="R101"/>
      <c r="S101"/>
      <c r="U101" s="63"/>
    </row>
    <row r="102" spans="1:21" x14ac:dyDescent="0.35">
      <c r="A102"/>
      <c r="Q102"/>
      <c r="R102"/>
      <c r="S102"/>
      <c r="U102" s="63"/>
    </row>
    <row r="103" spans="1:21" x14ac:dyDescent="0.35">
      <c r="A103"/>
      <c r="Q103"/>
      <c r="R103"/>
      <c r="S103"/>
      <c r="U103" s="63"/>
    </row>
    <row r="104" spans="1:21" x14ac:dyDescent="0.35">
      <c r="A104"/>
      <c r="Q104"/>
      <c r="R104"/>
      <c r="S104"/>
      <c r="U104" s="63"/>
    </row>
    <row r="105" spans="1:21" x14ac:dyDescent="0.35">
      <c r="A105"/>
      <c r="Q105"/>
      <c r="R105"/>
      <c r="S105"/>
      <c r="U105" s="63"/>
    </row>
    <row r="106" spans="1:21" x14ac:dyDescent="0.35">
      <c r="A106"/>
      <c r="Q106"/>
      <c r="R106"/>
      <c r="S106"/>
      <c r="U106" s="63"/>
    </row>
    <row r="107" spans="1:21" x14ac:dyDescent="0.35">
      <c r="A107"/>
      <c r="Q107"/>
      <c r="R107"/>
      <c r="S107"/>
      <c r="U107" s="63"/>
    </row>
    <row r="108" spans="1:21" x14ac:dyDescent="0.35">
      <c r="A108" s="175"/>
      <c r="Q108" s="175"/>
      <c r="R108" s="175"/>
      <c r="S108" s="175"/>
      <c r="U108" s="219"/>
    </row>
  </sheetData>
  <mergeCells count="3">
    <mergeCell ref="G3:H3"/>
    <mergeCell ref="I3:J3"/>
    <mergeCell ref="K3:L3"/>
  </mergeCells>
  <conditionalFormatting sqref="K3:K9">
    <cfRule type="containsText" dxfId="11" priority="4" operator="containsText" text="high">
      <formula>NOT(ISERROR(SEARCH("high",K3)))</formula>
    </cfRule>
    <cfRule type="containsText" dxfId="10" priority="5" operator="containsText" text="medium">
      <formula>NOT(ISERROR(SEARCH("medium",K3)))</formula>
    </cfRule>
    <cfRule type="containsText" dxfId="9" priority="6" operator="containsText" text="low">
      <formula>NOT(ISERROR(SEARCH("low",K3)))</formula>
    </cfRule>
  </conditionalFormatting>
  <conditionalFormatting sqref="K5">
    <cfRule type="containsText" dxfId="8" priority="1" operator="containsText" text="high">
      <formula>NOT(ISERROR(SEARCH("high",K5)))</formula>
    </cfRule>
    <cfRule type="containsText" dxfId="7" priority="2" operator="containsText" text="medium">
      <formula>NOT(ISERROR(SEARCH("medium",K5)))</formula>
    </cfRule>
    <cfRule type="containsText" dxfId="6" priority="3" operator="containsText" text="low">
      <formula>NOT(ISERROR(SEARCH("low",K5)))</formula>
    </cfRule>
  </conditionalFormatting>
  <dataValidations count="2">
    <dataValidation type="list" allowBlank="1" showInputMessage="1" showErrorMessage="1" sqref="G4:G9" xr:uid="{3BDBCFE3-C963-4732-B529-87429FA37754}">
      <formula1>Impact.</formula1>
    </dataValidation>
    <dataValidation type="list" allowBlank="1" showInputMessage="1" showErrorMessage="1" sqref="I3:I9" xr:uid="{82030633-231B-4A2D-ACCC-AAC5535AE422}">
      <formula1>Likelihood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B469-710F-41A6-9307-ACB8695D51DB}">
  <dimension ref="A3:U10"/>
  <sheetViews>
    <sheetView topLeftCell="A3" workbookViewId="0">
      <selection activeCell="A4" sqref="A4"/>
    </sheetView>
  </sheetViews>
  <sheetFormatPr defaultRowHeight="14.5" x14ac:dyDescent="0.35"/>
  <cols>
    <col min="1" max="1" width="11.7265625" customWidth="1"/>
    <col min="2" max="2" width="12.6328125" customWidth="1"/>
    <col min="3" max="3" width="15.08984375" customWidth="1"/>
    <col min="4" max="4" width="27.81640625" customWidth="1"/>
    <col min="5" max="5" width="11.81640625" customWidth="1"/>
    <col min="6" max="6" width="44.6328125" customWidth="1"/>
    <col min="13" max="13" width="11.90625" customWidth="1"/>
    <col min="14" max="14" width="31.36328125" customWidth="1"/>
    <col min="16" max="16" width="11.08984375" customWidth="1"/>
    <col min="17" max="17" width="9" customWidth="1"/>
    <col min="18" max="18" width="10.81640625" customWidth="1"/>
    <col min="19" max="19" width="71.36328125" customWidth="1"/>
    <col min="20" max="20" width="17.36328125" customWidth="1"/>
  </cols>
  <sheetData>
    <row r="3" spans="1:21" ht="81" customHeight="1" x14ac:dyDescent="0.35">
      <c r="A3" s="72" t="s">
        <v>73</v>
      </c>
      <c r="B3" s="72" t="s">
        <v>0</v>
      </c>
      <c r="C3" s="72" t="s">
        <v>222</v>
      </c>
      <c r="D3" s="72" t="s">
        <v>113</v>
      </c>
      <c r="E3" s="72" t="s">
        <v>212</v>
      </c>
      <c r="F3" s="73" t="s">
        <v>140</v>
      </c>
      <c r="G3" s="267" t="s">
        <v>141</v>
      </c>
      <c r="H3" s="267"/>
      <c r="I3" s="267" t="s">
        <v>142</v>
      </c>
      <c r="J3" s="267"/>
      <c r="K3" s="267" t="s">
        <v>143</v>
      </c>
      <c r="L3" s="267"/>
      <c r="M3" s="72" t="s">
        <v>213</v>
      </c>
      <c r="N3" s="74" t="s">
        <v>147</v>
      </c>
      <c r="O3" s="81" t="s">
        <v>164</v>
      </c>
      <c r="P3" s="164" t="s">
        <v>144</v>
      </c>
      <c r="Q3" s="72" t="s">
        <v>145</v>
      </c>
      <c r="R3" s="72" t="s">
        <v>146</v>
      </c>
      <c r="S3" s="172" t="s">
        <v>2</v>
      </c>
      <c r="T3" s="75" t="s">
        <v>1</v>
      </c>
      <c r="U3" s="62"/>
    </row>
    <row r="4" spans="1:21" ht="159.5" customHeight="1" x14ac:dyDescent="0.35">
      <c r="A4" s="143" t="s">
        <v>156</v>
      </c>
      <c r="B4" s="143" t="s">
        <v>154</v>
      </c>
      <c r="C4" s="144" t="s">
        <v>169</v>
      </c>
      <c r="D4" s="145" t="s">
        <v>175</v>
      </c>
      <c r="E4" s="146" t="s">
        <v>116</v>
      </c>
      <c r="F4" s="147" t="s">
        <v>279</v>
      </c>
      <c r="G4" s="180" t="s">
        <v>22</v>
      </c>
      <c r="H4" s="148">
        <v>5</v>
      </c>
      <c r="I4" s="149" t="s">
        <v>35</v>
      </c>
      <c r="J4" s="148">
        <v>5</v>
      </c>
      <c r="K4" s="150" t="s">
        <v>72</v>
      </c>
      <c r="L4" s="148">
        <f t="shared" ref="L4:L9" si="0">H4*J4</f>
        <v>25</v>
      </c>
      <c r="M4" s="148">
        <v>8</v>
      </c>
      <c r="N4" s="147" t="s">
        <v>258</v>
      </c>
      <c r="O4" s="151">
        <v>0.8</v>
      </c>
      <c r="P4" s="150">
        <v>20</v>
      </c>
      <c r="Q4" s="152" t="s">
        <v>168</v>
      </c>
      <c r="R4" s="152" t="s">
        <v>155</v>
      </c>
      <c r="S4" s="173" t="s">
        <v>257</v>
      </c>
      <c r="T4" s="153">
        <v>46112</v>
      </c>
      <c r="U4" s="62"/>
    </row>
    <row r="5" spans="1:21" ht="137.5" customHeight="1" x14ac:dyDescent="0.35">
      <c r="A5" s="187">
        <v>3.1</v>
      </c>
      <c r="B5" s="155" t="s">
        <v>161</v>
      </c>
      <c r="C5" s="144" t="s">
        <v>176</v>
      </c>
      <c r="D5" s="146" t="s">
        <v>214</v>
      </c>
      <c r="E5" s="146" t="s">
        <v>117</v>
      </c>
      <c r="F5" s="156" t="s">
        <v>276</v>
      </c>
      <c r="G5" s="201" t="s">
        <v>23</v>
      </c>
      <c r="H5" s="157">
        <v>5</v>
      </c>
      <c r="I5" s="158" t="s">
        <v>35</v>
      </c>
      <c r="J5" s="157">
        <v>4</v>
      </c>
      <c r="K5" s="159" t="s">
        <v>71</v>
      </c>
      <c r="L5" s="157">
        <f t="shared" si="0"/>
        <v>20</v>
      </c>
      <c r="M5" s="157">
        <v>6</v>
      </c>
      <c r="N5" s="147" t="s">
        <v>262</v>
      </c>
      <c r="O5" s="151">
        <v>0.8</v>
      </c>
      <c r="P5" s="159">
        <v>16</v>
      </c>
      <c r="Q5" s="158" t="s">
        <v>163</v>
      </c>
      <c r="R5" s="158" t="s">
        <v>153</v>
      </c>
      <c r="S5" s="173" t="s">
        <v>263</v>
      </c>
      <c r="T5" s="153">
        <v>46112</v>
      </c>
      <c r="U5" s="62"/>
    </row>
    <row r="6" spans="1:21" ht="116" customHeight="1" x14ac:dyDescent="0.35">
      <c r="A6" s="155" t="s">
        <v>170</v>
      </c>
      <c r="B6" s="155" t="s">
        <v>171</v>
      </c>
      <c r="C6" s="144" t="s">
        <v>174</v>
      </c>
      <c r="D6" s="146" t="s">
        <v>172</v>
      </c>
      <c r="E6" s="146" t="s">
        <v>117</v>
      </c>
      <c r="F6" s="156" t="s">
        <v>259</v>
      </c>
      <c r="G6" s="180" t="s">
        <v>22</v>
      </c>
      <c r="H6" s="148">
        <v>5</v>
      </c>
      <c r="I6" s="152" t="s">
        <v>38</v>
      </c>
      <c r="J6" s="148">
        <v>4</v>
      </c>
      <c r="K6" s="160" t="s">
        <v>71</v>
      </c>
      <c r="L6" s="148">
        <f t="shared" si="0"/>
        <v>20</v>
      </c>
      <c r="M6" s="148">
        <v>10</v>
      </c>
      <c r="N6" s="147" t="s">
        <v>260</v>
      </c>
      <c r="O6" s="151">
        <v>0.8</v>
      </c>
      <c r="P6" s="150">
        <v>16</v>
      </c>
      <c r="Q6" s="161" t="s">
        <v>160</v>
      </c>
      <c r="R6" s="152" t="s">
        <v>153</v>
      </c>
      <c r="S6" s="173" t="s">
        <v>267</v>
      </c>
      <c r="T6" s="153">
        <v>46112</v>
      </c>
      <c r="U6" s="62"/>
    </row>
    <row r="7" spans="1:21" ht="131.5" customHeight="1" x14ac:dyDescent="0.35">
      <c r="A7" s="155" t="s">
        <v>158</v>
      </c>
      <c r="B7" s="144" t="s">
        <v>159</v>
      </c>
      <c r="C7" s="144" t="s">
        <v>177</v>
      </c>
      <c r="D7" s="146" t="s">
        <v>215</v>
      </c>
      <c r="E7" s="146" t="s">
        <v>116</v>
      </c>
      <c r="F7" s="156" t="s">
        <v>264</v>
      </c>
      <c r="G7" s="180" t="s">
        <v>23</v>
      </c>
      <c r="H7" s="148">
        <v>4</v>
      </c>
      <c r="I7" s="149" t="s">
        <v>38</v>
      </c>
      <c r="J7" s="148">
        <v>4</v>
      </c>
      <c r="K7" s="160" t="s">
        <v>71</v>
      </c>
      <c r="L7" s="148">
        <f t="shared" si="0"/>
        <v>16</v>
      </c>
      <c r="M7" s="148">
        <v>4</v>
      </c>
      <c r="N7" s="147" t="s">
        <v>265</v>
      </c>
      <c r="O7" s="151">
        <v>0.8</v>
      </c>
      <c r="P7" s="160">
        <v>12.8</v>
      </c>
      <c r="Q7" s="158" t="s">
        <v>165</v>
      </c>
      <c r="R7" s="158" t="s">
        <v>153</v>
      </c>
      <c r="S7" s="173" t="s">
        <v>266</v>
      </c>
      <c r="T7" s="153">
        <v>46112</v>
      </c>
      <c r="U7" s="62"/>
    </row>
    <row r="8" spans="1:21" ht="141" customHeight="1" x14ac:dyDescent="0.35">
      <c r="A8" s="196">
        <v>3.3</v>
      </c>
      <c r="B8" s="197">
        <v>3</v>
      </c>
      <c r="C8" s="198" t="s">
        <v>228</v>
      </c>
      <c r="D8" s="199" t="s">
        <v>241</v>
      </c>
      <c r="E8" s="145" t="s">
        <v>227</v>
      </c>
      <c r="F8" s="156" t="s">
        <v>270</v>
      </c>
      <c r="G8" s="180" t="s">
        <v>23</v>
      </c>
      <c r="H8" s="148">
        <v>4</v>
      </c>
      <c r="I8" s="152" t="s">
        <v>38</v>
      </c>
      <c r="J8" s="148">
        <v>4</v>
      </c>
      <c r="K8" s="160" t="s">
        <v>71</v>
      </c>
      <c r="L8" s="148">
        <f t="shared" si="0"/>
        <v>16</v>
      </c>
      <c r="M8" s="148">
        <v>8</v>
      </c>
      <c r="N8" s="147" t="s">
        <v>278</v>
      </c>
      <c r="O8" s="151">
        <v>0.8</v>
      </c>
      <c r="P8" s="160">
        <v>12.8</v>
      </c>
      <c r="Q8" s="152" t="s">
        <v>163</v>
      </c>
      <c r="R8" s="152" t="s">
        <v>153</v>
      </c>
      <c r="S8" s="173" t="s">
        <v>268</v>
      </c>
      <c r="T8" s="153">
        <v>46112</v>
      </c>
      <c r="U8" s="62"/>
    </row>
    <row r="9" spans="1:21" ht="99" customHeight="1" x14ac:dyDescent="0.35">
      <c r="A9" s="143" t="s">
        <v>231</v>
      </c>
      <c r="B9" s="162" t="s">
        <v>232</v>
      </c>
      <c r="C9" s="144" t="s">
        <v>229</v>
      </c>
      <c r="D9" s="169" t="s">
        <v>242</v>
      </c>
      <c r="E9" s="145" t="s">
        <v>117</v>
      </c>
      <c r="F9" s="147" t="s">
        <v>269</v>
      </c>
      <c r="G9" s="180" t="s">
        <v>23</v>
      </c>
      <c r="H9" s="148">
        <v>4</v>
      </c>
      <c r="I9" s="149" t="s">
        <v>38</v>
      </c>
      <c r="J9" s="148">
        <v>4</v>
      </c>
      <c r="K9" s="160" t="s">
        <v>71</v>
      </c>
      <c r="L9" s="148">
        <f t="shared" si="0"/>
        <v>16</v>
      </c>
      <c r="M9" s="148">
        <v>0</v>
      </c>
      <c r="N9" s="147" t="s">
        <v>272</v>
      </c>
      <c r="O9" s="151">
        <v>0.8</v>
      </c>
      <c r="P9" s="160">
        <v>12.8</v>
      </c>
      <c r="Q9" s="152" t="s">
        <v>157</v>
      </c>
      <c r="R9" s="152" t="s">
        <v>153</v>
      </c>
      <c r="S9" s="147" t="s">
        <v>277</v>
      </c>
      <c r="T9" s="153">
        <v>46112</v>
      </c>
      <c r="U9" s="62"/>
    </row>
    <row r="10" spans="1:21" x14ac:dyDescent="0.35">
      <c r="A10" s="62"/>
      <c r="B10" s="62"/>
      <c r="C10" s="62"/>
      <c r="D10" s="62"/>
      <c r="E10" s="62"/>
      <c r="F10" s="62"/>
      <c r="G10" s="62"/>
      <c r="H10" s="62"/>
      <c r="I10" s="62"/>
      <c r="J10" s="62"/>
      <c r="K10" s="62"/>
      <c r="L10" s="62"/>
      <c r="M10" s="62"/>
      <c r="N10" s="62"/>
      <c r="O10" s="62"/>
      <c r="P10" s="62"/>
      <c r="Q10" s="62"/>
      <c r="R10" s="62"/>
      <c r="S10" s="62"/>
      <c r="T10" s="62"/>
      <c r="U10" s="62"/>
    </row>
  </sheetData>
  <mergeCells count="3">
    <mergeCell ref="G3:H3"/>
    <mergeCell ref="I3:J3"/>
    <mergeCell ref="K3:L3"/>
  </mergeCells>
  <conditionalFormatting sqref="K3:K9">
    <cfRule type="containsText" dxfId="5" priority="4" operator="containsText" text="high">
      <formula>NOT(ISERROR(SEARCH("high",K3)))</formula>
    </cfRule>
    <cfRule type="containsText" dxfId="4" priority="5" operator="containsText" text="medium">
      <formula>NOT(ISERROR(SEARCH("medium",K3)))</formula>
    </cfRule>
    <cfRule type="containsText" dxfId="3" priority="6" operator="containsText" text="low">
      <formula>NOT(ISERROR(SEARCH("low",K3)))</formula>
    </cfRule>
  </conditionalFormatting>
  <conditionalFormatting sqref="K5">
    <cfRule type="containsText" dxfId="2" priority="1" operator="containsText" text="high">
      <formula>NOT(ISERROR(SEARCH("high",K5)))</formula>
    </cfRule>
    <cfRule type="containsText" dxfId="1" priority="2" operator="containsText" text="medium">
      <formula>NOT(ISERROR(SEARCH("medium",K5)))</formula>
    </cfRule>
    <cfRule type="containsText" dxfId="0" priority="3" operator="containsText" text="low">
      <formula>NOT(ISERROR(SEARCH("low",K5)))</formula>
    </cfRule>
  </conditionalFormatting>
  <dataValidations count="2">
    <dataValidation type="list" allowBlank="1" showInputMessage="1" showErrorMessage="1" sqref="I3:I9" xr:uid="{1111720A-34F8-42D2-8E8C-1AA97ED73ACB}">
      <formula1>Likelihood</formula1>
    </dataValidation>
    <dataValidation type="list" allowBlank="1" showInputMessage="1" showErrorMessage="1" sqref="G4:G9" xr:uid="{17BAEFEF-779E-42F5-BC07-6E7BF259B96C}">
      <formula1>Impact.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dimension ref="A2:I39"/>
  <sheetViews>
    <sheetView topLeftCell="A18" workbookViewId="0">
      <selection activeCell="D21" sqref="D21"/>
    </sheetView>
  </sheetViews>
  <sheetFormatPr defaultRowHeight="14.5" x14ac:dyDescent="0.35"/>
  <cols>
    <col min="1" max="1" width="18.1796875" customWidth="1"/>
    <col min="2" max="2" width="23.81640625" customWidth="1"/>
    <col min="5" max="5" width="13.54296875" customWidth="1"/>
    <col min="6" max="6" width="26.81640625" customWidth="1"/>
  </cols>
  <sheetData>
    <row r="2" spans="1:6" ht="15" thickBot="1" x14ac:dyDescent="0.4"/>
    <row r="3" spans="1:6" ht="15" thickBot="1" x14ac:dyDescent="0.4">
      <c r="A3" s="14" t="s">
        <v>27</v>
      </c>
      <c r="B3" s="15" t="s">
        <v>17</v>
      </c>
    </row>
    <row r="4" spans="1:6" ht="15" thickBot="1" x14ac:dyDescent="0.4">
      <c r="A4" s="1">
        <v>5</v>
      </c>
      <c r="B4" s="16" t="s">
        <v>22</v>
      </c>
    </row>
    <row r="5" spans="1:6" ht="15" thickBot="1" x14ac:dyDescent="0.4">
      <c r="A5" s="4">
        <v>4</v>
      </c>
      <c r="B5" s="17" t="s">
        <v>23</v>
      </c>
    </row>
    <row r="6" spans="1:6" ht="15" thickBot="1" x14ac:dyDescent="0.4">
      <c r="A6" s="7">
        <v>3</v>
      </c>
      <c r="B6" s="18" t="s">
        <v>24</v>
      </c>
    </row>
    <row r="7" spans="1:6" ht="15" thickBot="1" x14ac:dyDescent="0.4">
      <c r="A7" s="4">
        <v>2</v>
      </c>
      <c r="B7" s="17" t="s">
        <v>26</v>
      </c>
    </row>
    <row r="8" spans="1:6" ht="15" thickBot="1" x14ac:dyDescent="0.4">
      <c r="A8" s="9">
        <v>1</v>
      </c>
      <c r="B8" s="19" t="s">
        <v>178</v>
      </c>
    </row>
    <row r="10" spans="1:6" ht="15" thickBot="1" x14ac:dyDescent="0.4"/>
    <row r="11" spans="1:6" ht="16" thickBot="1" x14ac:dyDescent="0.4">
      <c r="A11" s="12" t="s">
        <v>16</v>
      </c>
      <c r="B11" s="13" t="s">
        <v>33</v>
      </c>
      <c r="E11" s="268" t="s">
        <v>67</v>
      </c>
      <c r="F11" s="268"/>
    </row>
    <row r="12" spans="1:6" ht="15" thickBot="1" x14ac:dyDescent="0.4">
      <c r="A12" s="1">
        <v>5</v>
      </c>
      <c r="B12" s="2" t="s">
        <v>35</v>
      </c>
      <c r="E12" s="40" t="s">
        <v>68</v>
      </c>
      <c r="F12" s="41" t="s">
        <v>16</v>
      </c>
    </row>
    <row r="13" spans="1:6" ht="15" thickBot="1" x14ac:dyDescent="0.4">
      <c r="A13" s="4">
        <v>4</v>
      </c>
      <c r="B13" s="5" t="s">
        <v>38</v>
      </c>
      <c r="E13" s="42" t="s">
        <v>69</v>
      </c>
      <c r="F13" s="43">
        <v>0</v>
      </c>
    </row>
    <row r="14" spans="1:6" ht="15" thickBot="1" x14ac:dyDescent="0.4">
      <c r="A14" s="7">
        <v>3</v>
      </c>
      <c r="B14" s="8" t="s">
        <v>210</v>
      </c>
      <c r="E14" s="42" t="s">
        <v>70</v>
      </c>
      <c r="F14" s="43">
        <v>7</v>
      </c>
    </row>
    <row r="15" spans="1:6" ht="15" thickBot="1" x14ac:dyDescent="0.4">
      <c r="A15" s="4">
        <v>2</v>
      </c>
      <c r="B15" s="5" t="s">
        <v>42</v>
      </c>
      <c r="E15" s="42" t="s">
        <v>71</v>
      </c>
      <c r="F15" s="43">
        <v>15</v>
      </c>
    </row>
    <row r="16" spans="1:6" ht="15" thickBot="1" x14ac:dyDescent="0.4">
      <c r="A16" s="9">
        <v>1</v>
      </c>
      <c r="B16" s="10" t="s">
        <v>44</v>
      </c>
      <c r="E16" s="44" t="s">
        <v>72</v>
      </c>
      <c r="F16" s="45">
        <v>21</v>
      </c>
    </row>
    <row r="18" spans="1:9" ht="15" thickBot="1" x14ac:dyDescent="0.4"/>
    <row r="19" spans="1:9" ht="15" thickBot="1" x14ac:dyDescent="0.4">
      <c r="A19" s="15" t="s">
        <v>17</v>
      </c>
      <c r="B19" s="14" t="s">
        <v>27</v>
      </c>
      <c r="F19" s="13" t="s">
        <v>3</v>
      </c>
      <c r="G19" s="12"/>
    </row>
    <row r="20" spans="1:9" ht="15" thickBot="1" x14ac:dyDescent="0.4">
      <c r="A20" s="16" t="s">
        <v>22</v>
      </c>
      <c r="B20" s="1">
        <v>5</v>
      </c>
      <c r="F20" s="2" t="s">
        <v>5</v>
      </c>
      <c r="G20" s="1">
        <v>1</v>
      </c>
    </row>
    <row r="21" spans="1:9" ht="15" thickBot="1" x14ac:dyDescent="0.4">
      <c r="A21" s="17" t="s">
        <v>23</v>
      </c>
      <c r="B21" s="4">
        <v>4</v>
      </c>
      <c r="F21" s="5" t="s">
        <v>7</v>
      </c>
      <c r="G21" s="4">
        <v>2</v>
      </c>
    </row>
    <row r="22" spans="1:9" ht="15" thickBot="1" x14ac:dyDescent="0.4">
      <c r="A22" s="18" t="s">
        <v>24</v>
      </c>
      <c r="B22" s="7">
        <v>3</v>
      </c>
      <c r="F22" s="8" t="s">
        <v>9</v>
      </c>
      <c r="G22" s="7">
        <v>3</v>
      </c>
    </row>
    <row r="23" spans="1:9" ht="15" thickBot="1" x14ac:dyDescent="0.4">
      <c r="A23" s="17" t="s">
        <v>26</v>
      </c>
      <c r="B23" s="4">
        <v>2</v>
      </c>
      <c r="F23" s="5" t="s">
        <v>11</v>
      </c>
      <c r="G23" s="4">
        <v>4</v>
      </c>
    </row>
    <row r="24" spans="1:9" ht="15" thickBot="1" x14ac:dyDescent="0.4">
      <c r="A24" s="19" t="s">
        <v>178</v>
      </c>
      <c r="B24" s="9">
        <v>1</v>
      </c>
      <c r="F24" s="10" t="s">
        <v>13</v>
      </c>
      <c r="G24" s="9">
        <v>5</v>
      </c>
    </row>
    <row r="25" spans="1:9" ht="15" thickBot="1" x14ac:dyDescent="0.4"/>
    <row r="26" spans="1:9" ht="15" thickBot="1" x14ac:dyDescent="0.4">
      <c r="A26" s="13" t="s">
        <v>33</v>
      </c>
      <c r="B26" s="12" t="s">
        <v>16</v>
      </c>
      <c r="E26" s="34" t="s">
        <v>53</v>
      </c>
      <c r="F26" s="34" t="s">
        <v>54</v>
      </c>
      <c r="H26" s="76"/>
      <c r="I26" s="76"/>
    </row>
    <row r="27" spans="1:9" ht="19" thickBot="1" x14ac:dyDescent="0.5">
      <c r="A27" s="2" t="s">
        <v>35</v>
      </c>
      <c r="B27" s="1">
        <v>5</v>
      </c>
      <c r="E27" s="38" t="s">
        <v>57</v>
      </c>
      <c r="F27" s="38" t="s">
        <v>58</v>
      </c>
      <c r="G27" s="37"/>
    </row>
    <row r="28" spans="1:9" ht="19" thickBot="1" x14ac:dyDescent="0.5">
      <c r="A28" s="5" t="s">
        <v>38</v>
      </c>
      <c r="B28" s="4">
        <v>4</v>
      </c>
      <c r="E28" s="39" t="s">
        <v>60</v>
      </c>
      <c r="F28" s="38" t="s">
        <v>61</v>
      </c>
      <c r="G28" s="37"/>
    </row>
    <row r="29" spans="1:9" ht="19" thickBot="1" x14ac:dyDescent="0.5">
      <c r="A29" s="8" t="s">
        <v>210</v>
      </c>
      <c r="B29" s="7">
        <v>3</v>
      </c>
      <c r="E29" s="39" t="s">
        <v>63</v>
      </c>
      <c r="F29" s="38" t="s">
        <v>64</v>
      </c>
      <c r="G29" s="37"/>
    </row>
    <row r="30" spans="1:9" ht="15" thickBot="1" x14ac:dyDescent="0.4">
      <c r="A30" s="5" t="s">
        <v>42</v>
      </c>
      <c r="B30" s="4">
        <v>2</v>
      </c>
    </row>
    <row r="31" spans="1:9" ht="15" thickBot="1" x14ac:dyDescent="0.4">
      <c r="A31" s="10" t="s">
        <v>44</v>
      </c>
      <c r="B31" s="9">
        <v>1</v>
      </c>
    </row>
    <row r="33" spans="1:2" ht="15" thickBot="1" x14ac:dyDescent="0.4"/>
    <row r="34" spans="1:2" ht="15" thickBot="1" x14ac:dyDescent="0.4">
      <c r="A34" s="12"/>
      <c r="B34" s="13" t="s">
        <v>3</v>
      </c>
    </row>
    <row r="35" spans="1:2" ht="15" thickBot="1" x14ac:dyDescent="0.4">
      <c r="A35" s="1">
        <v>0.2</v>
      </c>
      <c r="B35" s="2" t="s">
        <v>5</v>
      </c>
    </row>
    <row r="36" spans="1:2" ht="15" thickBot="1" x14ac:dyDescent="0.4">
      <c r="A36" s="4">
        <v>0.4</v>
      </c>
      <c r="B36" s="5" t="s">
        <v>7</v>
      </c>
    </row>
    <row r="37" spans="1:2" ht="15" thickBot="1" x14ac:dyDescent="0.4">
      <c r="A37" s="7">
        <v>0.6</v>
      </c>
      <c r="B37" s="8" t="s">
        <v>9</v>
      </c>
    </row>
    <row r="38" spans="1:2" ht="15" thickBot="1" x14ac:dyDescent="0.4">
      <c r="A38" s="4">
        <v>0.8</v>
      </c>
      <c r="B38" s="5" t="s">
        <v>11</v>
      </c>
    </row>
    <row r="39" spans="1:2" ht="15" thickBot="1" x14ac:dyDescent="0.4">
      <c r="A39" s="9">
        <v>1</v>
      </c>
      <c r="B39" s="10" t="s">
        <v>13</v>
      </c>
    </row>
  </sheetData>
  <mergeCells count="1">
    <mergeCell ref="E11:F11"/>
  </mergeCells>
  <dataValidations count="1">
    <dataValidation type="list" allowBlank="1" showInputMessage="1" showErrorMessage="1" sqref="A35:A39" xr:uid="{91569456-CFAA-484D-AF06-CD79570C2A57}">
      <formula1>$A$35:$A$39</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
  <dimension ref="A1:H9"/>
  <sheetViews>
    <sheetView zoomScale="80" zoomScaleNormal="80" workbookViewId="0">
      <selection activeCell="B5" sqref="B5"/>
    </sheetView>
  </sheetViews>
  <sheetFormatPr defaultRowHeight="14.5" x14ac:dyDescent="0.35"/>
  <cols>
    <col min="1" max="1" width="10.81640625" style="91" customWidth="1"/>
    <col min="2" max="2" width="8.81640625" style="63"/>
    <col min="3" max="3" width="24.1796875" customWidth="1"/>
    <col min="4" max="4" width="23.54296875" customWidth="1"/>
    <col min="5" max="5" width="18.453125" customWidth="1"/>
    <col min="6" max="6" width="21.1796875" customWidth="1"/>
    <col min="7" max="7" width="22.54296875" customWidth="1"/>
    <col min="8" max="8" width="19.453125" customWidth="1"/>
  </cols>
  <sheetData>
    <row r="1" spans="1:8" ht="15" thickBot="1" x14ac:dyDescent="0.4">
      <c r="A1" s="135"/>
      <c r="B1" s="138"/>
      <c r="C1" s="136"/>
      <c r="D1" s="136"/>
      <c r="E1" s="136"/>
      <c r="F1" s="136"/>
      <c r="G1" s="136"/>
      <c r="H1" s="136"/>
    </row>
    <row r="2" spans="1:8" ht="15" thickBot="1" x14ac:dyDescent="0.4">
      <c r="A2" s="269"/>
      <c r="B2" s="270"/>
      <c r="C2" s="271"/>
      <c r="D2" s="121"/>
      <c r="E2" s="122" t="s">
        <v>15</v>
      </c>
      <c r="F2" s="123"/>
      <c r="G2" s="123"/>
      <c r="H2" s="137"/>
    </row>
    <row r="3" spans="1:8" ht="26.5" thickBot="1" x14ac:dyDescent="0.4">
      <c r="A3" s="124" t="s">
        <v>27</v>
      </c>
      <c r="B3" s="139" t="s">
        <v>17</v>
      </c>
      <c r="C3" s="125" t="s">
        <v>167</v>
      </c>
      <c r="D3" s="125" t="s">
        <v>19</v>
      </c>
      <c r="E3" s="126" t="s">
        <v>18</v>
      </c>
      <c r="F3" s="126" t="s">
        <v>166</v>
      </c>
      <c r="G3" s="88" t="s">
        <v>192</v>
      </c>
      <c r="H3" s="127" t="s">
        <v>21</v>
      </c>
    </row>
    <row r="4" spans="1:8" ht="95.15" customHeight="1" thickBot="1" x14ac:dyDescent="0.4">
      <c r="A4" s="128">
        <v>5</v>
      </c>
      <c r="B4" s="129" t="s">
        <v>22</v>
      </c>
      <c r="C4" s="92" t="s">
        <v>198</v>
      </c>
      <c r="D4" s="82" t="s">
        <v>184</v>
      </c>
      <c r="E4" s="64" t="s">
        <v>187</v>
      </c>
      <c r="F4" s="86" t="s">
        <v>193</v>
      </c>
      <c r="G4" s="89" t="s">
        <v>221</v>
      </c>
      <c r="H4" s="89" t="s">
        <v>205</v>
      </c>
    </row>
    <row r="5" spans="1:8" ht="108" customHeight="1" thickBot="1" x14ac:dyDescent="0.4">
      <c r="A5" s="130">
        <v>4</v>
      </c>
      <c r="B5" s="131" t="s">
        <v>23</v>
      </c>
      <c r="C5" s="92" t="s">
        <v>199</v>
      </c>
      <c r="D5" s="83" t="s">
        <v>183</v>
      </c>
      <c r="E5" s="65" t="s">
        <v>186</v>
      </c>
      <c r="F5" s="85" t="s">
        <v>191</v>
      </c>
      <c r="G5" s="89" t="s">
        <v>200</v>
      </c>
      <c r="H5" s="89" t="s">
        <v>206</v>
      </c>
    </row>
    <row r="6" spans="1:8" ht="98.15" customHeight="1" thickBot="1" x14ac:dyDescent="0.4">
      <c r="A6" s="132">
        <v>3</v>
      </c>
      <c r="B6" s="133" t="s">
        <v>24</v>
      </c>
      <c r="C6" s="92" t="s">
        <v>201</v>
      </c>
      <c r="D6" s="83" t="s">
        <v>182</v>
      </c>
      <c r="E6" s="64" t="s">
        <v>185</v>
      </c>
      <c r="F6" s="86" t="s">
        <v>190</v>
      </c>
      <c r="G6" s="89" t="s">
        <v>197</v>
      </c>
      <c r="H6" s="89" t="s">
        <v>207</v>
      </c>
    </row>
    <row r="7" spans="1:8" ht="95.5" customHeight="1" thickBot="1" x14ac:dyDescent="0.4">
      <c r="A7" s="130">
        <v>2</v>
      </c>
      <c r="B7" s="131" t="s">
        <v>26</v>
      </c>
      <c r="C7" s="93" t="s">
        <v>202</v>
      </c>
      <c r="D7" s="83" t="s">
        <v>181</v>
      </c>
      <c r="E7" s="65" t="s">
        <v>195</v>
      </c>
      <c r="F7" s="85" t="s">
        <v>189</v>
      </c>
      <c r="G7" s="89" t="s">
        <v>196</v>
      </c>
      <c r="H7" s="89" t="s">
        <v>208</v>
      </c>
    </row>
    <row r="8" spans="1:8" ht="72" customHeight="1" thickBot="1" x14ac:dyDescent="0.4">
      <c r="A8" s="134">
        <v>1</v>
      </c>
      <c r="B8" s="140" t="s">
        <v>178</v>
      </c>
      <c r="C8" s="94" t="s">
        <v>179</v>
      </c>
      <c r="D8" s="84" t="s">
        <v>180</v>
      </c>
      <c r="E8" s="66" t="s">
        <v>203</v>
      </c>
      <c r="F8" s="87" t="s">
        <v>188</v>
      </c>
      <c r="G8" s="89" t="s">
        <v>194</v>
      </c>
      <c r="H8" s="89" t="s">
        <v>204</v>
      </c>
    </row>
    <row r="9" spans="1:8" x14ac:dyDescent="0.35">
      <c r="A9" s="135"/>
      <c r="B9" s="138"/>
      <c r="C9" s="136"/>
      <c r="D9" s="136"/>
      <c r="E9" s="136"/>
      <c r="F9" s="136"/>
      <c r="G9" s="136"/>
      <c r="H9" s="136"/>
    </row>
  </sheetData>
  <mergeCells count="1">
    <mergeCell ref="A2:C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
  <dimension ref="A1:E11"/>
  <sheetViews>
    <sheetView workbookViewId="0">
      <selection activeCell="C12" sqref="C12"/>
    </sheetView>
  </sheetViews>
  <sheetFormatPr defaultRowHeight="14.5" x14ac:dyDescent="0.35"/>
  <cols>
    <col min="1" max="1" width="13.81640625" customWidth="1"/>
    <col min="2" max="2" width="25.81640625" customWidth="1"/>
    <col min="3" max="3" width="52.453125" customWidth="1"/>
    <col min="4" max="4" width="36.81640625" customWidth="1"/>
  </cols>
  <sheetData>
    <row r="1" spans="1:5" ht="15.5" x14ac:dyDescent="0.35">
      <c r="A1" s="102"/>
      <c r="B1" s="102"/>
      <c r="C1" s="102"/>
      <c r="D1" s="102"/>
      <c r="E1" s="102"/>
    </row>
    <row r="2" spans="1:5" ht="16" thickBot="1" x14ac:dyDescent="0.4">
      <c r="A2" s="102"/>
      <c r="B2" s="102"/>
      <c r="C2" s="102"/>
      <c r="D2" s="102"/>
      <c r="E2" s="102"/>
    </row>
    <row r="3" spans="1:5" ht="16" thickBot="1" x14ac:dyDescent="0.4">
      <c r="A3" s="103" t="s">
        <v>16</v>
      </c>
      <c r="B3" s="104" t="s">
        <v>33</v>
      </c>
      <c r="C3" s="105" t="s">
        <v>209</v>
      </c>
      <c r="D3" s="106" t="s">
        <v>34</v>
      </c>
      <c r="E3" s="102"/>
    </row>
    <row r="4" spans="1:5" ht="31.5" thickBot="1" x14ac:dyDescent="0.4">
      <c r="A4" s="107">
        <v>5</v>
      </c>
      <c r="B4" s="108" t="s">
        <v>35</v>
      </c>
      <c r="C4" s="109" t="s">
        <v>36</v>
      </c>
      <c r="D4" s="110" t="s">
        <v>37</v>
      </c>
      <c r="E4" s="102"/>
    </row>
    <row r="5" spans="1:5" ht="16" thickBot="1" x14ac:dyDescent="0.4">
      <c r="A5" s="111">
        <v>4</v>
      </c>
      <c r="B5" s="112" t="s">
        <v>38</v>
      </c>
      <c r="C5" s="113" t="s">
        <v>39</v>
      </c>
      <c r="D5" s="114" t="s">
        <v>40</v>
      </c>
      <c r="E5" s="102"/>
    </row>
    <row r="6" spans="1:5" ht="16" thickBot="1" x14ac:dyDescent="0.4">
      <c r="A6" s="115">
        <v>3</v>
      </c>
      <c r="B6" s="116" t="s">
        <v>210</v>
      </c>
      <c r="C6" s="109" t="s">
        <v>220</v>
      </c>
      <c r="D6" s="110" t="s">
        <v>41</v>
      </c>
      <c r="E6" s="102"/>
    </row>
    <row r="7" spans="1:5" ht="16" thickBot="1" x14ac:dyDescent="0.4">
      <c r="A7" s="111">
        <v>2</v>
      </c>
      <c r="B7" s="112" t="s">
        <v>42</v>
      </c>
      <c r="C7" s="113" t="s">
        <v>211</v>
      </c>
      <c r="D7" s="114" t="s">
        <v>43</v>
      </c>
      <c r="E7" s="102"/>
    </row>
    <row r="8" spans="1:5" ht="31.5" thickBot="1" x14ac:dyDescent="0.4">
      <c r="A8" s="117">
        <v>1</v>
      </c>
      <c r="B8" s="118" t="s">
        <v>44</v>
      </c>
      <c r="C8" s="119" t="s">
        <v>45</v>
      </c>
      <c r="D8" s="120" t="s">
        <v>46</v>
      </c>
      <c r="E8" s="102"/>
    </row>
    <row r="9" spans="1:5" ht="18.5" x14ac:dyDescent="0.45">
      <c r="A9" s="37"/>
      <c r="B9" s="37"/>
      <c r="C9" s="37"/>
      <c r="D9" s="37"/>
      <c r="E9" s="37"/>
    </row>
    <row r="10" spans="1:5" ht="18.5" x14ac:dyDescent="0.45">
      <c r="A10" s="37"/>
      <c r="B10" s="37"/>
      <c r="C10" s="37"/>
      <c r="D10" s="37"/>
      <c r="E10" s="37"/>
    </row>
    <row r="11" spans="1:5" ht="18.5" x14ac:dyDescent="0.45">
      <c r="A11" s="37"/>
      <c r="B11" s="37"/>
      <c r="C11" s="37"/>
      <c r="D11" s="37"/>
      <c r="E11"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
  <dimension ref="A2:D8"/>
  <sheetViews>
    <sheetView zoomScaleNormal="100" workbookViewId="0">
      <selection activeCell="E8" sqref="E8"/>
    </sheetView>
  </sheetViews>
  <sheetFormatPr defaultRowHeight="14.5" x14ac:dyDescent="0.35"/>
  <cols>
    <col min="1" max="1" width="12" customWidth="1"/>
    <col min="2" max="2" width="12" style="76" customWidth="1"/>
    <col min="3" max="3" width="15.453125" customWidth="1"/>
    <col min="4" max="4" width="47.1796875" customWidth="1"/>
  </cols>
  <sheetData>
    <row r="2" spans="1:4" ht="15" thickBot="1" x14ac:dyDescent="0.4"/>
    <row r="3" spans="1:4" ht="26.5" thickBot="1" x14ac:dyDescent="0.4">
      <c r="A3" s="95"/>
      <c r="B3" s="96"/>
      <c r="C3" s="96" t="s">
        <v>3</v>
      </c>
      <c r="D3" s="90" t="s">
        <v>4</v>
      </c>
    </row>
    <row r="4" spans="1:4" ht="26.25" customHeight="1" thickBot="1" x14ac:dyDescent="0.4">
      <c r="A4" s="1">
        <v>1</v>
      </c>
      <c r="B4" s="77" t="s">
        <v>148</v>
      </c>
      <c r="C4" s="2" t="s">
        <v>5</v>
      </c>
      <c r="D4" s="3" t="s">
        <v>6</v>
      </c>
    </row>
    <row r="5" spans="1:4" ht="42" customHeight="1" thickBot="1" x14ac:dyDescent="0.4">
      <c r="A5" s="4">
        <v>2</v>
      </c>
      <c r="B5" s="78" t="s">
        <v>149</v>
      </c>
      <c r="C5" s="5" t="s">
        <v>7</v>
      </c>
      <c r="D5" s="6" t="s">
        <v>8</v>
      </c>
    </row>
    <row r="6" spans="1:4" ht="30" customHeight="1" thickBot="1" x14ac:dyDescent="0.4">
      <c r="A6" s="7">
        <v>3</v>
      </c>
      <c r="B6" s="79" t="s">
        <v>150</v>
      </c>
      <c r="C6" s="8" t="s">
        <v>9</v>
      </c>
      <c r="D6" s="3" t="s">
        <v>10</v>
      </c>
    </row>
    <row r="7" spans="1:4" ht="42.75" customHeight="1" thickBot="1" x14ac:dyDescent="0.4">
      <c r="A7" s="4">
        <v>4</v>
      </c>
      <c r="B7" s="78" t="s">
        <v>151</v>
      </c>
      <c r="C7" s="5" t="s">
        <v>11</v>
      </c>
      <c r="D7" s="6" t="s">
        <v>12</v>
      </c>
    </row>
    <row r="8" spans="1:4" ht="27" customHeight="1" thickBot="1" x14ac:dyDescent="0.4">
      <c r="A8" s="9">
        <v>5</v>
      </c>
      <c r="B8" s="80" t="s">
        <v>152</v>
      </c>
      <c r="C8" s="10" t="s">
        <v>13</v>
      </c>
      <c r="D8" s="11" t="s">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dimension ref="A3:L11"/>
  <sheetViews>
    <sheetView topLeftCell="A4" workbookViewId="0">
      <selection activeCell="I13" sqref="I13"/>
    </sheetView>
  </sheetViews>
  <sheetFormatPr defaultRowHeight="14.5" x14ac:dyDescent="0.35"/>
  <cols>
    <col min="2" max="2" width="9.1796875" customWidth="1"/>
    <col min="3" max="3" width="11.1796875" customWidth="1"/>
    <col min="4" max="4" width="13.453125" customWidth="1"/>
    <col min="5" max="5" width="16.453125" customWidth="1"/>
    <col min="6" max="6" width="12.453125" customWidth="1"/>
    <col min="7" max="7" width="17.453125" customWidth="1"/>
    <col min="8" max="8" width="16.81640625" customWidth="1"/>
    <col min="10" max="10" width="13.1796875" customWidth="1"/>
    <col min="11" max="11" width="18.81640625" customWidth="1"/>
  </cols>
  <sheetData>
    <row r="3" spans="1:12" x14ac:dyDescent="0.35">
      <c r="A3" s="275"/>
      <c r="B3" s="275"/>
      <c r="C3" s="275"/>
    </row>
    <row r="4" spans="1:12" ht="15.5" x14ac:dyDescent="0.35">
      <c r="A4" s="275"/>
      <c r="B4" s="275"/>
      <c r="C4" s="275"/>
      <c r="D4" s="276" t="s">
        <v>47</v>
      </c>
      <c r="E4" s="277"/>
      <c r="F4" s="277"/>
      <c r="G4" s="277"/>
      <c r="H4" s="277"/>
    </row>
    <row r="5" spans="1:12" ht="16" thickBot="1" x14ac:dyDescent="0.4">
      <c r="A5" s="21"/>
      <c r="B5" s="21"/>
      <c r="C5" s="21"/>
      <c r="D5" s="278"/>
      <c r="E5" s="279"/>
      <c r="F5" s="279"/>
      <c r="G5" s="279"/>
      <c r="H5" s="279"/>
    </row>
    <row r="6" spans="1:12" ht="16" thickBot="1" x14ac:dyDescent="0.4">
      <c r="A6" s="21"/>
      <c r="B6" s="21"/>
      <c r="C6" s="22"/>
      <c r="D6" s="32" t="s">
        <v>48</v>
      </c>
      <c r="E6" s="33" t="s">
        <v>49</v>
      </c>
      <c r="F6" s="33" t="s">
        <v>50</v>
      </c>
      <c r="G6" s="33" t="s">
        <v>51</v>
      </c>
      <c r="H6" s="33" t="s">
        <v>52</v>
      </c>
      <c r="J6" s="34" t="s">
        <v>53</v>
      </c>
      <c r="K6" s="34" t="s">
        <v>54</v>
      </c>
    </row>
    <row r="7" spans="1:12" ht="25.5" thickBot="1" x14ac:dyDescent="0.5">
      <c r="A7" s="272" t="s">
        <v>55</v>
      </c>
      <c r="B7" s="35">
        <v>5</v>
      </c>
      <c r="C7" s="23" t="s">
        <v>56</v>
      </c>
      <c r="D7" s="24">
        <v>5</v>
      </c>
      <c r="E7" s="25">
        <v>10</v>
      </c>
      <c r="F7" s="26">
        <v>15</v>
      </c>
      <c r="G7" s="27">
        <v>20</v>
      </c>
      <c r="H7" s="27">
        <v>25</v>
      </c>
      <c r="J7" s="38" t="s">
        <v>57</v>
      </c>
      <c r="K7" s="38" t="s">
        <v>58</v>
      </c>
      <c r="L7" s="37"/>
    </row>
    <row r="8" spans="1:12" ht="38" thickBot="1" x14ac:dyDescent="0.5">
      <c r="A8" s="273"/>
      <c r="B8" s="36">
        <v>4</v>
      </c>
      <c r="C8" s="28" t="s">
        <v>59</v>
      </c>
      <c r="D8" s="29">
        <v>4</v>
      </c>
      <c r="E8" s="24">
        <v>8</v>
      </c>
      <c r="F8" s="25">
        <v>12</v>
      </c>
      <c r="G8" s="26">
        <v>16</v>
      </c>
      <c r="H8" s="27">
        <v>20</v>
      </c>
      <c r="J8" s="39" t="s">
        <v>60</v>
      </c>
      <c r="K8" s="38" t="s">
        <v>61</v>
      </c>
      <c r="L8" s="37"/>
    </row>
    <row r="9" spans="1:12" ht="63" thickBot="1" x14ac:dyDescent="0.5">
      <c r="A9" s="273"/>
      <c r="B9" s="36">
        <v>3</v>
      </c>
      <c r="C9" s="28" t="s">
        <v>62</v>
      </c>
      <c r="D9" s="31">
        <v>3</v>
      </c>
      <c r="E9" s="24">
        <v>6</v>
      </c>
      <c r="F9" s="25">
        <v>9</v>
      </c>
      <c r="G9" s="25">
        <v>12</v>
      </c>
      <c r="H9" s="26">
        <v>15</v>
      </c>
      <c r="J9" s="39" t="s">
        <v>63</v>
      </c>
      <c r="K9" s="38" t="s">
        <v>64</v>
      </c>
      <c r="L9" s="37"/>
    </row>
    <row r="10" spans="1:12" ht="50.5" thickBot="1" x14ac:dyDescent="0.4">
      <c r="A10" s="273"/>
      <c r="B10" s="36">
        <v>2</v>
      </c>
      <c r="C10" s="28" t="s">
        <v>65</v>
      </c>
      <c r="D10" s="31">
        <v>2</v>
      </c>
      <c r="E10" s="31">
        <v>4</v>
      </c>
      <c r="F10" s="24">
        <v>6</v>
      </c>
      <c r="G10" s="24">
        <v>8</v>
      </c>
      <c r="H10" s="25">
        <v>10</v>
      </c>
    </row>
    <row r="11" spans="1:12" ht="75.5" thickBot="1" x14ac:dyDescent="0.55000000000000004">
      <c r="A11" s="274"/>
      <c r="B11" s="36">
        <v>1</v>
      </c>
      <c r="C11" s="28" t="s">
        <v>66</v>
      </c>
      <c r="D11" s="31">
        <v>1</v>
      </c>
      <c r="E11" s="31">
        <v>2</v>
      </c>
      <c r="F11" s="29">
        <v>3</v>
      </c>
      <c r="G11" s="29">
        <v>4</v>
      </c>
      <c r="H11" s="25">
        <v>5</v>
      </c>
      <c r="J11" s="30"/>
    </row>
  </sheetData>
  <mergeCells count="6">
    <mergeCell ref="A7:A11"/>
    <mergeCell ref="A3:A4"/>
    <mergeCell ref="B3:B4"/>
    <mergeCell ref="C3:C4"/>
    <mergeCell ref="D4:H4"/>
    <mergeCell ref="D5:H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D764-E71C-40A9-B05F-1B3294C69175}">
  <dimension ref="A2:H17"/>
  <sheetViews>
    <sheetView zoomScale="80" zoomScaleNormal="80" workbookViewId="0">
      <selection activeCell="A6" sqref="A6"/>
    </sheetView>
  </sheetViews>
  <sheetFormatPr defaultRowHeight="14.5" x14ac:dyDescent="0.35"/>
  <cols>
    <col min="2" max="2" width="14.453125" customWidth="1"/>
    <col min="3" max="3" width="25.1796875" customWidth="1"/>
    <col min="4" max="4" width="24.453125" customWidth="1"/>
    <col min="5" max="5" width="28.453125" customWidth="1"/>
    <col min="6" max="6" width="25.453125" customWidth="1"/>
    <col min="7" max="7" width="25.1796875" customWidth="1"/>
  </cols>
  <sheetData>
    <row r="2" spans="1:8" x14ac:dyDescent="0.35">
      <c r="E2" s="63"/>
    </row>
    <row r="3" spans="1:8" x14ac:dyDescent="0.35">
      <c r="A3" s="280"/>
      <c r="B3" s="280"/>
      <c r="C3" s="280"/>
      <c r="D3" s="97"/>
      <c r="E3" s="98" t="s">
        <v>15</v>
      </c>
      <c r="F3" s="20"/>
      <c r="G3" s="20"/>
      <c r="H3" s="20"/>
    </row>
    <row r="4" spans="1:8" ht="26" x14ac:dyDescent="0.35">
      <c r="A4" s="90" t="s">
        <v>114</v>
      </c>
      <c r="B4" s="90" t="s">
        <v>115</v>
      </c>
      <c r="C4" s="90" t="s">
        <v>116</v>
      </c>
      <c r="D4" s="90" t="s">
        <v>19</v>
      </c>
      <c r="E4" s="90" t="s">
        <v>18</v>
      </c>
      <c r="F4" s="90" t="s">
        <v>20</v>
      </c>
      <c r="G4" s="90" t="s">
        <v>117</v>
      </c>
      <c r="H4" s="99"/>
    </row>
    <row r="5" spans="1:8" ht="116.15" customHeight="1" x14ac:dyDescent="0.35">
      <c r="A5" s="100">
        <v>5</v>
      </c>
      <c r="B5" s="101" t="s">
        <v>139</v>
      </c>
      <c r="C5" s="67" t="s">
        <v>118</v>
      </c>
      <c r="D5" s="67" t="s">
        <v>216</v>
      </c>
      <c r="E5" s="89" t="s">
        <v>119</v>
      </c>
      <c r="F5" s="67" t="s">
        <v>28</v>
      </c>
      <c r="G5" s="67" t="s">
        <v>120</v>
      </c>
      <c r="H5" s="67"/>
    </row>
    <row r="6" spans="1:8" ht="118.5" customHeight="1" x14ac:dyDescent="0.35">
      <c r="A6" s="100">
        <v>4</v>
      </c>
      <c r="B6" s="101" t="s">
        <v>23</v>
      </c>
      <c r="C6" s="67" t="s">
        <v>121</v>
      </c>
      <c r="D6" s="67" t="s">
        <v>122</v>
      </c>
      <c r="E6" s="89" t="s">
        <v>123</v>
      </c>
      <c r="F6" s="67" t="s">
        <v>29</v>
      </c>
      <c r="G6" s="67" t="s">
        <v>124</v>
      </c>
      <c r="H6" s="67"/>
    </row>
    <row r="7" spans="1:8" ht="121.5" customHeight="1" x14ac:dyDescent="0.35">
      <c r="A7" s="100">
        <v>3</v>
      </c>
      <c r="B7" s="101" t="s">
        <v>24</v>
      </c>
      <c r="C7" s="67" t="s">
        <v>217</v>
      </c>
      <c r="D7" s="67" t="s">
        <v>218</v>
      </c>
      <c r="E7" s="89" t="s">
        <v>125</v>
      </c>
      <c r="F7" s="67" t="s">
        <v>25</v>
      </c>
      <c r="G7" s="67" t="s">
        <v>126</v>
      </c>
      <c r="H7" s="67"/>
    </row>
    <row r="8" spans="1:8" ht="115.5" customHeight="1" x14ac:dyDescent="0.35">
      <c r="A8" s="100">
        <v>2</v>
      </c>
      <c r="B8" s="101" t="s">
        <v>30</v>
      </c>
      <c r="C8" s="67" t="s">
        <v>219</v>
      </c>
      <c r="D8" s="67" t="s">
        <v>127</v>
      </c>
      <c r="E8" s="89" t="s">
        <v>128</v>
      </c>
      <c r="F8" s="67" t="s">
        <v>31</v>
      </c>
      <c r="G8" s="67" t="s">
        <v>129</v>
      </c>
      <c r="H8" s="67"/>
    </row>
    <row r="9" spans="1:8" ht="91" x14ac:dyDescent="0.35">
      <c r="A9" s="100">
        <v>1</v>
      </c>
      <c r="B9" s="101" t="s">
        <v>26</v>
      </c>
      <c r="C9" s="67" t="s">
        <v>130</v>
      </c>
      <c r="D9" s="67" t="s">
        <v>131</v>
      </c>
      <c r="E9" s="89" t="s">
        <v>132</v>
      </c>
      <c r="F9" s="67" t="s">
        <v>32</v>
      </c>
      <c r="G9" s="67" t="s">
        <v>133</v>
      </c>
      <c r="H9" s="67"/>
    </row>
    <row r="10" spans="1:8" x14ac:dyDescent="0.35">
      <c r="E10" s="63"/>
    </row>
    <row r="11" spans="1:8" x14ac:dyDescent="0.35">
      <c r="B11" s="68" t="s">
        <v>134</v>
      </c>
      <c r="C11" s="49"/>
      <c r="E11" s="63"/>
    </row>
    <row r="12" spans="1:8" x14ac:dyDescent="0.35">
      <c r="A12">
        <v>1</v>
      </c>
      <c r="B12" s="69" t="s">
        <v>135</v>
      </c>
      <c r="E12" s="63"/>
    </row>
    <row r="13" spans="1:8" x14ac:dyDescent="0.35">
      <c r="A13">
        <v>2</v>
      </c>
      <c r="B13" s="69" t="s">
        <v>136</v>
      </c>
      <c r="E13" s="63"/>
    </row>
    <row r="14" spans="1:8" x14ac:dyDescent="0.35">
      <c r="A14">
        <v>3</v>
      </c>
      <c r="B14" s="69" t="s">
        <v>137</v>
      </c>
      <c r="E14" s="63"/>
    </row>
    <row r="15" spans="1:8" x14ac:dyDescent="0.35">
      <c r="A15">
        <v>4</v>
      </c>
      <c r="B15" s="69" t="s">
        <v>138</v>
      </c>
      <c r="E15" s="63"/>
    </row>
    <row r="16" spans="1:8" x14ac:dyDescent="0.35">
      <c r="E16" s="63"/>
    </row>
    <row r="17" spans="5:5" x14ac:dyDescent="0.35">
      <c r="E17" s="63"/>
    </row>
  </sheetData>
  <mergeCells count="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SAMPLE MT</vt:lpstr>
      <vt:lpstr>QUARTER 1 SUMMARY</vt:lpstr>
      <vt:lpstr>QUARTER 1 2025-26 UPDATES</vt:lpstr>
      <vt:lpstr>RISK REGISTER 2025-26</vt:lpstr>
      <vt:lpstr>Boundaries</vt:lpstr>
      <vt:lpstr>Impact</vt:lpstr>
      <vt:lpstr>likelihood</vt:lpstr>
      <vt:lpstr>effectiveness of control</vt:lpstr>
      <vt:lpstr>Risk Matrix</vt:lpstr>
      <vt:lpstr>Opportunity Impact Scale</vt:lpstr>
      <vt:lpstr>Effectiveness</vt:lpstr>
      <vt:lpstr>Impact.</vt:lpstr>
      <vt:lpstr>Likelihood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Gaone Sechele</dc:creator>
  <cp:lastModifiedBy>Gaone McKenzie</cp:lastModifiedBy>
  <cp:lastPrinted>2023-04-12T12:39:43Z</cp:lastPrinted>
  <dcterms:created xsi:type="dcterms:W3CDTF">2016-11-20T04:57:26Z</dcterms:created>
  <dcterms:modified xsi:type="dcterms:W3CDTF">2025-08-18T13:00:59Z</dcterms:modified>
</cp:coreProperties>
</file>